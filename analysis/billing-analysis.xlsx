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-Month Spend Trend" sheetId="1" state="visible" r:id="rId1"/>
    <sheet name="M12 Service Spend Par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8"/>
        <bgColor rgb="00F4F6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166" fontId="0" fillId="3" borderId="1" pivotButton="0" quotePrefix="0" xfId="0"/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3" fontId="4" fillId="0" borderId="2" pivotButton="0" quotePrefix="0" xfId="0"/>
    <xf numFmtId="166" fontId="4" fillId="0" borderId="2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22" customWidth="1" min="3" max="3"/>
    <col width="18" customWidth="1" min="4" max="4"/>
    <col width="14" customWidth="1" min="5" max="5"/>
    <col width="18" customWidth="1" min="6" max="6"/>
    <col width="21" customWidth="1" min="7" max="7"/>
    <col width="28" customWidth="1" min="8" max="8"/>
  </cols>
  <sheetData>
    <row r="1">
      <c r="A1" s="1" t="inlineStr">
        <is>
          <t>LendFlow Technologies — 12-Month AWS Spend &amp; Variance Analysis</t>
        </is>
      </c>
    </row>
    <row r="2">
      <c r="A2" s="2" t="inlineStr">
        <is>
          <t>Baseline Analysis: October 2025 to September 2026 (Currency in USD)</t>
        </is>
      </c>
    </row>
    <row r="3"/>
    <row r="4">
      <c r="A4" s="3" t="inlineStr">
        <is>
          <t>Billing Period</t>
        </is>
      </c>
      <c r="B4" s="3" t="inlineStr">
        <is>
          <t>Budget (USD)</t>
        </is>
      </c>
      <c r="C4" s="3" t="inlineStr">
        <is>
          <t>Actual Spend (USD)</t>
        </is>
      </c>
      <c r="D4" s="3" t="inlineStr">
        <is>
          <t>Variance (USD)</t>
        </is>
      </c>
      <c r="E4" s="3" t="inlineStr">
        <is>
          <t>Variance %</t>
        </is>
      </c>
      <c r="F4" s="3" t="inlineStr">
        <is>
          <t>MoM Growth %</t>
        </is>
      </c>
      <c r="G4" s="3" t="inlineStr">
        <is>
          <t>Loan Applications</t>
        </is>
      </c>
      <c r="H4" s="3" t="inlineStr">
        <is>
          <t>Cost / Application (USD)</t>
        </is>
      </c>
    </row>
    <row r="5">
      <c r="A5" s="4" t="inlineStr">
        <is>
          <t>2025-10</t>
        </is>
      </c>
      <c r="B5" s="5" t="n">
        <v>52000</v>
      </c>
      <c r="C5" s="5" t="n">
        <v>50000</v>
      </c>
      <c r="D5" s="5">
        <f>C5-B5</f>
        <v/>
      </c>
      <c r="E5" s="6">
        <f>D5/B5</f>
        <v/>
      </c>
      <c r="F5" s="4" t="inlineStr">
        <is>
          <t>-</t>
        </is>
      </c>
      <c r="G5" s="7" t="n">
        <v>210000</v>
      </c>
      <c r="H5" s="8">
        <f>C5/G5</f>
        <v/>
      </c>
    </row>
    <row r="6">
      <c r="A6" s="9" t="inlineStr">
        <is>
          <t>2025-11</t>
        </is>
      </c>
      <c r="B6" s="10" t="n">
        <v>55000</v>
      </c>
      <c r="C6" s="10" t="n">
        <v>54000</v>
      </c>
      <c r="D6" s="10">
        <f>C6-B6</f>
        <v/>
      </c>
      <c r="E6" s="11">
        <f>D6/B6</f>
        <v/>
      </c>
      <c r="F6" s="11">
        <f>(C6-C5)/C5</f>
        <v/>
      </c>
      <c r="G6" s="12" t="n">
        <v>230000</v>
      </c>
      <c r="H6" s="13">
        <f>C6/G6</f>
        <v/>
      </c>
    </row>
    <row r="7">
      <c r="A7" s="4" t="inlineStr">
        <is>
          <t>2025-12</t>
        </is>
      </c>
      <c r="B7" s="5" t="n">
        <v>58000</v>
      </c>
      <c r="C7" s="5" t="n">
        <v>61000</v>
      </c>
      <c r="D7" s="5">
        <f>C7-B7</f>
        <v/>
      </c>
      <c r="E7" s="6">
        <f>D7/B7</f>
        <v/>
      </c>
      <c r="F7" s="6">
        <f>(C7-C6)/C6</f>
        <v/>
      </c>
      <c r="G7" s="7" t="n">
        <v>255000</v>
      </c>
      <c r="H7" s="8">
        <f>C7/G7</f>
        <v/>
      </c>
    </row>
    <row r="8">
      <c r="A8" s="9" t="inlineStr">
        <is>
          <t>2026-01</t>
        </is>
      </c>
      <c r="B8" s="10" t="n">
        <v>62000</v>
      </c>
      <c r="C8" s="10" t="n">
        <v>72000</v>
      </c>
      <c r="D8" s="10">
        <f>C8-B8</f>
        <v/>
      </c>
      <c r="E8" s="11">
        <f>D8/B8</f>
        <v/>
      </c>
      <c r="F8" s="11">
        <f>(C8-C7)/C7</f>
        <v/>
      </c>
      <c r="G8" s="12" t="n">
        <v>290000</v>
      </c>
      <c r="H8" s="13">
        <f>C8/G8</f>
        <v/>
      </c>
    </row>
    <row r="9">
      <c r="A9" s="4" t="inlineStr">
        <is>
          <t>2026-02</t>
        </is>
      </c>
      <c r="B9" s="5" t="n">
        <v>66000</v>
      </c>
      <c r="C9" s="5" t="n">
        <v>85000</v>
      </c>
      <c r="D9" s="5">
        <f>C9-B9</f>
        <v/>
      </c>
      <c r="E9" s="6">
        <f>D9/B9</f>
        <v/>
      </c>
      <c r="F9" s="6">
        <f>(C9-C8)/C8</f>
        <v/>
      </c>
      <c r="G9" s="7" t="n">
        <v>325000</v>
      </c>
      <c r="H9" s="8">
        <f>C9/G9</f>
        <v/>
      </c>
    </row>
    <row r="10">
      <c r="A10" s="9" t="inlineStr">
        <is>
          <t>2026-03</t>
        </is>
      </c>
      <c r="B10" s="10" t="n">
        <v>71000</v>
      </c>
      <c r="C10" s="10" t="n">
        <v>98000</v>
      </c>
      <c r="D10" s="10">
        <f>C10-B10</f>
        <v/>
      </c>
      <c r="E10" s="11">
        <f>D10/B10</f>
        <v/>
      </c>
      <c r="F10" s="11">
        <f>(C10-C9)/C9</f>
        <v/>
      </c>
      <c r="G10" s="12" t="n">
        <v>360000</v>
      </c>
      <c r="H10" s="13">
        <f>C10/G10</f>
        <v/>
      </c>
    </row>
    <row r="11">
      <c r="A11" s="4" t="inlineStr">
        <is>
          <t>2026-04</t>
        </is>
      </c>
      <c r="B11" s="5" t="n">
        <v>76000</v>
      </c>
      <c r="C11" s="5" t="n">
        <v>112000</v>
      </c>
      <c r="D11" s="5">
        <f>C11-B11</f>
        <v/>
      </c>
      <c r="E11" s="6">
        <f>D11/B11</f>
        <v/>
      </c>
      <c r="F11" s="6">
        <f>(C11-C10)/C10</f>
        <v/>
      </c>
      <c r="G11" s="7" t="n">
        <v>395000</v>
      </c>
      <c r="H11" s="8">
        <f>C11/G11</f>
        <v/>
      </c>
    </row>
    <row r="12">
      <c r="A12" s="9" t="inlineStr">
        <is>
          <t>2026-05</t>
        </is>
      </c>
      <c r="B12" s="10" t="n">
        <v>81000</v>
      </c>
      <c r="C12" s="10" t="n">
        <v>127000</v>
      </c>
      <c r="D12" s="10">
        <f>C12-B12</f>
        <v/>
      </c>
      <c r="E12" s="11">
        <f>D12/B12</f>
        <v/>
      </c>
      <c r="F12" s="11">
        <f>(C12-C11)/C11</f>
        <v/>
      </c>
      <c r="G12" s="12" t="n">
        <v>430000</v>
      </c>
      <c r="H12" s="13">
        <f>C12/G12</f>
        <v/>
      </c>
    </row>
    <row r="13">
      <c r="A13" s="4" t="inlineStr">
        <is>
          <t>2026-06</t>
        </is>
      </c>
      <c r="B13" s="5" t="n">
        <v>85000</v>
      </c>
      <c r="C13" s="5" t="n">
        <v>141000</v>
      </c>
      <c r="D13" s="5">
        <f>C13-B13</f>
        <v/>
      </c>
      <c r="E13" s="6">
        <f>D13/B13</f>
        <v/>
      </c>
      <c r="F13" s="6">
        <f>(C13-C12)/C12</f>
        <v/>
      </c>
      <c r="G13" s="7" t="n">
        <v>460000</v>
      </c>
      <c r="H13" s="8">
        <f>C13/G13</f>
        <v/>
      </c>
    </row>
    <row r="14">
      <c r="A14" s="9" t="inlineStr">
        <is>
          <t>2026-07</t>
        </is>
      </c>
      <c r="B14" s="10" t="n">
        <v>89000</v>
      </c>
      <c r="C14" s="10" t="n">
        <v>154000</v>
      </c>
      <c r="D14" s="10">
        <f>C14-B14</f>
        <v/>
      </c>
      <c r="E14" s="11">
        <f>D14/B14</f>
        <v/>
      </c>
      <c r="F14" s="11">
        <f>(C14-C13)/C13</f>
        <v/>
      </c>
      <c r="G14" s="12" t="n">
        <v>485000</v>
      </c>
      <c r="H14" s="13">
        <f>C14/G14</f>
        <v/>
      </c>
    </row>
    <row r="15">
      <c r="A15" s="4" t="inlineStr">
        <is>
          <t>2026-08</t>
        </is>
      </c>
      <c r="B15" s="5" t="n">
        <v>92000</v>
      </c>
      <c r="C15" s="5" t="n">
        <v>168000</v>
      </c>
      <c r="D15" s="5">
        <f>C15-B15</f>
        <v/>
      </c>
      <c r="E15" s="6">
        <f>D15/B15</f>
        <v/>
      </c>
      <c r="F15" s="6">
        <f>(C15-C14)/C14</f>
        <v/>
      </c>
      <c r="G15" s="7" t="n">
        <v>505000</v>
      </c>
      <c r="H15" s="8">
        <f>C15/G15</f>
        <v/>
      </c>
    </row>
    <row r="16">
      <c r="A16" s="9" t="inlineStr">
        <is>
          <t>2026-09</t>
        </is>
      </c>
      <c r="B16" s="10" t="n">
        <v>95000</v>
      </c>
      <c r="C16" s="10" t="n">
        <v>180000</v>
      </c>
      <c r="D16" s="10">
        <f>C16-B16</f>
        <v/>
      </c>
      <c r="E16" s="11">
        <f>D16/B16</f>
        <v/>
      </c>
      <c r="F16" s="11">
        <f>(C16-C15)/C15</f>
        <v/>
      </c>
      <c r="G16" s="12" t="n">
        <v>520000</v>
      </c>
      <c r="H16" s="13">
        <f>C16/G16</f>
        <v/>
      </c>
    </row>
    <row r="17">
      <c r="A17" s="14" t="inlineStr">
        <is>
          <t>Total / Annual Run-Rate</t>
        </is>
      </c>
      <c r="B17" s="15">
        <f>SUM(B5:B16)</f>
        <v/>
      </c>
      <c r="C17" s="15">
        <f>SUM(C5:C16)</f>
        <v/>
      </c>
      <c r="D17" s="15">
        <f>C17-B17</f>
        <v/>
      </c>
      <c r="E17" s="16">
        <f>D17/B17</f>
        <v/>
      </c>
      <c r="F17" s="16">
        <f>(C16-C5)/C5</f>
        <v/>
      </c>
      <c r="G17" s="17">
        <f>SUM(G5:G16)</f>
        <v/>
      </c>
      <c r="H17" s="18">
        <f>C17/G17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3" customWidth="1" min="2" max="2"/>
    <col width="20" customWidth="1" min="3" max="3"/>
    <col width="16" customWidth="1" min="4" max="4"/>
    <col width="55" customWidth="1" min="5" max="5"/>
  </cols>
  <sheetData>
    <row r="1">
      <c r="A1" s="1" t="inlineStr">
        <is>
          <t>Month 12 (September 2026) Service Cost Breakdown &amp; Pareto Distribution</t>
        </is>
      </c>
    </row>
    <row r="2">
      <c r="A2" s="2" t="inlineStr">
        <is>
          <t>Total Current Monthly Baseline: $180,000.00 USD</t>
        </is>
      </c>
    </row>
    <row r="3"/>
    <row r="4">
      <c r="A4" s="19" t="inlineStr">
        <is>
          <t>AWS Service Category</t>
        </is>
      </c>
      <c r="B4" s="19" t="inlineStr">
        <is>
          <t>Monthly Spend (USD)</t>
        </is>
      </c>
      <c r="C4" s="19" t="inlineStr">
        <is>
          <t>% of Total Spend</t>
        </is>
      </c>
      <c r="D4" s="19" t="inlineStr">
        <is>
          <t>Cumulative %</t>
        </is>
      </c>
      <c r="E4" s="19" t="inlineStr">
        <is>
          <t>FinOps Focus Area</t>
        </is>
      </c>
    </row>
    <row r="5">
      <c r="A5" s="20" t="inlineStr">
        <is>
          <t>EC2 - Compute Instances</t>
        </is>
      </c>
      <c r="B5" s="5" t="n">
        <v>61200</v>
      </c>
      <c r="C5" s="6">
        <f>B5/$B$15</f>
        <v/>
      </c>
      <c r="D5" s="6">
        <f>C5</f>
        <v/>
      </c>
      <c r="E5" s="20" t="inlineStr">
        <is>
          <t>Compute Rightsizing, Spot Migration &amp; Savings Plans</t>
        </is>
      </c>
    </row>
    <row r="6">
      <c r="A6" s="21" t="inlineStr">
        <is>
          <t>RDS - PostgreSQL (Multi-AZ)</t>
        </is>
      </c>
      <c r="B6" s="10" t="n">
        <v>39600</v>
      </c>
      <c r="C6" s="11">
        <f>B6/$B$15</f>
        <v/>
      </c>
      <c r="D6" s="11">
        <f>D5+C6</f>
        <v/>
      </c>
      <c r="E6" s="21" t="inlineStr">
        <is>
          <t>Replica Consolidation &amp; Reserved DB Instances</t>
        </is>
      </c>
    </row>
    <row r="7">
      <c r="A7" s="20" t="inlineStr">
        <is>
          <t>Data Transfer (Cross-AZ &amp; Egress)</t>
        </is>
      </c>
      <c r="B7" s="5" t="n">
        <v>21600</v>
      </c>
      <c r="C7" s="6">
        <f>B7/$B$15</f>
        <v/>
      </c>
      <c r="D7" s="6">
        <f>D6+C7</f>
        <v/>
      </c>
      <c r="E7" s="20" t="inlineStr">
        <is>
          <t>VPC S3 Endpoints &amp; AZ Affinity Routing</t>
        </is>
      </c>
    </row>
    <row r="8">
      <c r="A8" s="21" t="inlineStr">
        <is>
          <t>S3 - Object Storage</t>
        </is>
      </c>
      <c r="B8" s="10" t="n">
        <v>19800</v>
      </c>
      <c r="C8" s="11">
        <f>B8/$B$15</f>
        <v/>
      </c>
      <c r="D8" s="11">
        <f>D7+C8</f>
        <v/>
      </c>
      <c r="E8" s="21" t="inlineStr">
        <is>
          <t>Intelligent-Tiering &amp; Glacier Lifecycle Policies</t>
        </is>
      </c>
    </row>
    <row r="9">
      <c r="A9" s="20" t="inlineStr">
        <is>
          <t>ElastiCache - Redis Cluster</t>
        </is>
      </c>
      <c r="B9" s="5" t="n">
        <v>12600</v>
      </c>
      <c r="C9" s="6">
        <f>B9/$B$15</f>
        <v/>
      </c>
      <c r="D9" s="6">
        <f>D8+C9</f>
        <v/>
      </c>
      <c r="E9" s="20" t="inlineStr">
        <is>
          <t>Memory Rightsizing &amp; Node Reservations</t>
        </is>
      </c>
    </row>
    <row r="10">
      <c r="A10" s="21" t="inlineStr">
        <is>
          <t>EBS - Block Storage</t>
        </is>
      </c>
      <c r="B10" s="10" t="n">
        <v>9900</v>
      </c>
      <c r="C10" s="11">
        <f>B10/$B$15</f>
        <v/>
      </c>
      <c r="D10" s="11">
        <f>D9+C10</f>
        <v/>
      </c>
      <c r="E10" s="21" t="inlineStr">
        <is>
          <t>GP2 to GP3 migration &amp; unattached volume deletion</t>
        </is>
      </c>
    </row>
    <row r="11">
      <c r="A11" s="20" t="inlineStr">
        <is>
          <t>NAT Gateway (Hourly &amp; Processing)</t>
        </is>
      </c>
      <c r="B11" s="5" t="n">
        <v>9000</v>
      </c>
      <c r="C11" s="6">
        <f>B11/$B$15</f>
        <v/>
      </c>
      <c r="D11" s="6">
        <f>D10+C11</f>
        <v/>
      </c>
      <c r="E11" s="20" t="inlineStr">
        <is>
          <t>Gateway Endpoints to eliminate data processing fees</t>
        </is>
      </c>
    </row>
    <row r="12">
      <c r="A12" s="21" t="inlineStr">
        <is>
          <t>Amazon CloudWatch &amp; Logging</t>
        </is>
      </c>
      <c r="B12" s="10" t="n">
        <v>7200</v>
      </c>
      <c r="C12" s="11">
        <f>B12/$B$15</f>
        <v/>
      </c>
      <c r="D12" s="11">
        <f>D11+C12</f>
        <v/>
      </c>
      <c r="E12" s="21" t="inlineStr">
        <is>
          <t>Log level filtering &amp; VPC Interface Endpoints</t>
        </is>
      </c>
    </row>
    <row r="13">
      <c r="A13" s="20" t="inlineStr">
        <is>
          <t>Elastic Load Balancing (ALB)</t>
        </is>
      </c>
      <c r="B13" s="5" t="n">
        <v>5400</v>
      </c>
      <c r="C13" s="6">
        <f>B13/$B$15</f>
        <v/>
      </c>
      <c r="D13" s="6">
        <f>D12+C13</f>
        <v/>
      </c>
      <c r="E13" s="20" t="inlineStr">
        <is>
          <t>ALB Consolidation &amp; idle target group cleanup</t>
        </is>
      </c>
    </row>
    <row r="14">
      <c r="A14" s="21" t="inlineStr">
        <is>
          <t>Other Services &amp; Support</t>
        </is>
      </c>
      <c r="B14" s="10" t="n">
        <v>3700</v>
      </c>
      <c r="C14" s="11">
        <f>B14/$B$15</f>
        <v/>
      </c>
      <c r="D14" s="11">
        <f>D13+C14</f>
        <v/>
      </c>
      <c r="E14" s="21" t="inlineStr">
        <is>
          <t>Cost anomaly detection &amp; enterprise support audit</t>
        </is>
      </c>
    </row>
    <row r="15">
      <c r="A15" s="14" t="inlineStr">
        <is>
          <t>Total AWS Spend</t>
        </is>
      </c>
      <c r="B15" s="15">
        <f>SUM(B5:B14)</f>
        <v/>
      </c>
      <c r="C15" s="16">
        <f>SUM(C5:C14)</f>
        <v/>
      </c>
      <c r="D15" s="16" t="inlineStr">
        <is>
          <t>100.0%</t>
        </is>
      </c>
      <c r="E15" s="14" t="inlineStr">
        <is>
          <t>Target Reduction &gt;= $60,000 (33.3%)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2026-09-13T16:01:16Z</dcterms:created>
  <dcterms:modified xsi:type="dcterms:W3CDTF">2026-09-13T16:01:16Z</dcterms:modified>
</cp:coreProperties>
</file>
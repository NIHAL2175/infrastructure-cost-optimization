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mpute Analysis" sheetId="2" state="visible" r:id="rId2"/>
    <sheet name="Database Analysis" sheetId="3" state="visible" r:id="rId3"/>
    <sheet name="Storage Analysis" sheetId="4" state="visible" r:id="rId4"/>
    <sheet name="Data Transfer Analysis" sheetId="5" state="visible" r:id="rId5"/>
    <sheet name="Commitment &amp; Sp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0"/>
  </numFmts>
  <fonts count="9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C0392B"/>
      <sz val="14"/>
    </font>
    <font>
      <name val="Calibri"/>
      <b val="1"/>
      <color rgb="001E8449"/>
      <sz val="14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365D"/>
      <sz val="12"/>
    </font>
  </fonts>
  <fills count="8">
    <fill>
      <patternFill/>
    </fill>
    <fill>
      <patternFill patternType="gray125"/>
    </fill>
    <fill>
      <patternFill patternType="solid">
        <fgColor rgb="00E8EEF5"/>
        <bgColor rgb="00E8EEF5"/>
      </patternFill>
    </fill>
    <fill>
      <patternFill patternType="solid">
        <fgColor rgb="001B365D"/>
        <bgColor rgb="001B365D"/>
      </patternFill>
    </fill>
    <fill>
      <patternFill patternType="solid">
        <fgColor rgb="00F8F9FA"/>
        <bgColor rgb="00F8F9FA"/>
      </patternFill>
    </fill>
    <fill>
      <patternFill patternType="solid">
        <fgColor rgb="00005B60"/>
        <bgColor rgb="00005B60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pivotButton="0" quotePrefix="0" xfId="0"/>
    <xf numFmtId="164" fontId="3" fillId="0" borderId="0" pivotButton="0" quotePrefix="0" xfId="0"/>
    <xf numFmtId="165" fontId="1" fillId="0" borderId="0" pivotButton="0" quotePrefix="0" xfId="0"/>
    <xf numFmtId="164" fontId="4" fillId="0" borderId="0" pivotButton="0" quotePrefix="0" xfId="0"/>
    <xf numFmtId="164" fontId="1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7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7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5" fillId="0" borderId="2" pivotButton="0" quotePrefix="0" xfId="0"/>
    <xf numFmtId="164" fontId="5" fillId="0" borderId="2" pivotButton="0" quotePrefix="0" xfId="0"/>
    <xf numFmtId="165" fontId="5" fillId="0" borderId="2" pivotButton="0" quotePrefix="0" xfId="0"/>
    <xf numFmtId="0" fontId="8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6" borderId="1" pivotButton="0" quotePrefix="0" xfId="0"/>
    <xf numFmtId="0" fontId="7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165" fontId="0" fillId="7" borderId="1" pivotButton="0" quotePrefix="0" xfId="0"/>
    <xf numFmtId="3" fontId="0" fillId="0" borderId="1" pivotButton="0" quotePrefix="0" xfId="0"/>
    <xf numFmtId="3" fontId="0" fillId="4" borderId="1" pivotButton="0" quotePrefix="0" xfId="0"/>
    <xf numFmtId="0" fontId="0" fillId="7" borderId="1" applyAlignment="1" pivotButton="0" quotePrefix="0" xfId="0">
      <alignment horizontal="center"/>
    </xf>
    <xf numFmtId="3" fontId="5" fillId="0" borderId="2" pivotButton="0" quotePrefix="0" xfId="0"/>
    <xf numFmtId="166" fontId="0" fillId="0" borderId="1" pivotButton="0" quotePrefix="0" xfId="0"/>
    <xf numFmtId="166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4" customWidth="1" min="3" max="3"/>
    <col width="33" customWidth="1" min="4" max="4"/>
    <col width="39" customWidth="1" min="5" max="5"/>
    <col width="26" customWidth="1" min="6" max="6"/>
    <col width="33" customWidth="1" min="7" max="7"/>
    <col width="24" customWidth="1" min="8" max="8"/>
    <col width="26" customWidth="1" min="9" max="9"/>
  </cols>
  <sheetData>
    <row r="1">
      <c r="A1" s="1" t="inlineStr">
        <is>
          <t>LendFlow Technologies — FinOps Financial Savings Model</t>
        </is>
      </c>
    </row>
    <row r="2">
      <c r="A2" s="2" t="inlineStr">
        <is>
          <t>Master Financial Reconciliation &amp; Baseline Run-Rate Target (Currency in USD)</t>
        </is>
      </c>
    </row>
    <row r="4">
      <c r="A4" s="3" t="inlineStr">
        <is>
          <t>Current Monthly Baseline Spend</t>
        </is>
      </c>
      <c r="C4" s="3" t="inlineStr">
        <is>
          <t>Target Cost Reduction</t>
        </is>
      </c>
      <c r="E4" s="3" t="inlineStr">
        <is>
          <t>Projected Monthly Savings (Expected)</t>
        </is>
      </c>
      <c r="G4" s="3" t="inlineStr">
        <is>
          <t>Target Monthly Run-Rate</t>
        </is>
      </c>
    </row>
    <row r="5">
      <c r="A5" s="4" t="n">
        <v>180000</v>
      </c>
      <c r="C5" s="5" t="n">
        <v>0.3333</v>
      </c>
      <c r="E5" s="6" t="n">
        <v>64250</v>
      </c>
      <c r="G5" s="7" t="n">
        <v>115750</v>
      </c>
    </row>
    <row r="8">
      <c r="A8" s="8" t="inlineStr">
        <is>
          <t>Category #</t>
        </is>
      </c>
      <c r="B8" s="8" t="inlineStr">
        <is>
          <t>Optimisation Domain</t>
        </is>
      </c>
      <c r="C8" s="8" t="inlineStr">
        <is>
          <t>Current Spend (USD)</t>
        </is>
      </c>
      <c r="D8" s="8" t="inlineStr">
        <is>
          <t>Expected Monthly Savings (USD)</t>
        </is>
      </c>
      <c r="E8" s="8" t="inlineStr">
        <is>
          <t>Expected Annual Savings (USD)</t>
        </is>
      </c>
      <c r="F8" s="8" t="inlineStr">
        <is>
          <t>% Reduction</t>
        </is>
      </c>
      <c r="G8" s="8" t="inlineStr">
        <is>
          <t>Confidence Level</t>
        </is>
      </c>
      <c r="H8" s="8" t="inlineStr">
        <is>
          <t>Implementation Effort</t>
        </is>
      </c>
      <c r="I8" s="8" t="inlineStr">
        <is>
          <t>Key Stakeholder Lead</t>
        </is>
      </c>
    </row>
    <row r="9">
      <c r="A9" s="9" t="inlineStr">
        <is>
          <t>CAT-01</t>
        </is>
      </c>
      <c r="B9" s="10" t="inlineStr">
        <is>
          <t>Compute Rightsizing &amp; Non-Prod Scheduling</t>
        </is>
      </c>
      <c r="C9" s="11" t="n">
        <v>61200</v>
      </c>
      <c r="D9" s="11" t="n">
        <v>19450</v>
      </c>
      <c r="E9" s="11">
        <f>D9*12</f>
        <v/>
      </c>
      <c r="F9" s="12">
        <f>D9/C9</f>
        <v/>
      </c>
      <c r="G9" s="9" t="inlineStr">
        <is>
          <t>High (90%)</t>
        </is>
      </c>
      <c r="H9" s="9" t="inlineStr">
        <is>
          <t>Low - Medium</t>
        </is>
      </c>
      <c r="I9" s="10" t="inlineStr">
        <is>
          <t>Ravi Krishnan (VP Eng)</t>
        </is>
      </c>
    </row>
    <row r="10">
      <c r="A10" s="13" t="inlineStr">
        <is>
          <t>CAT-02</t>
        </is>
      </c>
      <c r="B10" s="14" t="inlineStr">
        <is>
          <t>Commitment Strategy (1-Yr Compute Savings Plans)</t>
        </is>
      </c>
      <c r="C10" s="15" t="n">
        <v>38000</v>
      </c>
      <c r="D10" s="15" t="n">
        <v>14600</v>
      </c>
      <c r="E10" s="15">
        <f>D10*12</f>
        <v/>
      </c>
      <c r="F10" s="16">
        <f>D10/C10</f>
        <v/>
      </c>
      <c r="G10" s="13" t="inlineStr">
        <is>
          <t>Very High (95%)</t>
        </is>
      </c>
      <c r="H10" s="13" t="inlineStr">
        <is>
          <t>Low</t>
        </is>
      </c>
      <c r="I10" s="14" t="inlineStr">
        <is>
          <t>Priya Menon (CFO)</t>
        </is>
      </c>
    </row>
    <row r="11">
      <c r="A11" s="9" t="inlineStr">
        <is>
          <t>CAT-03</t>
        </is>
      </c>
      <c r="B11" s="10" t="inlineStr">
        <is>
          <t>Database Optimisation (RDS Multi-AZ &amp; ElastiCache)</t>
        </is>
      </c>
      <c r="C11" s="11" t="n">
        <v>52200</v>
      </c>
      <c r="D11" s="11" t="n">
        <v>9800</v>
      </c>
      <c r="E11" s="11">
        <f>D11*12</f>
        <v/>
      </c>
      <c r="F11" s="12">
        <f>D11/C11</f>
        <v/>
      </c>
      <c r="G11" s="9" t="inlineStr">
        <is>
          <t>High (85%)</t>
        </is>
      </c>
      <c r="H11" s="9" t="inlineStr">
        <is>
          <t>Medium</t>
        </is>
      </c>
      <c r="I11" s="10" t="inlineStr">
        <is>
          <t>Arjun Deshmukh (CTO)</t>
        </is>
      </c>
    </row>
    <row r="12">
      <c r="A12" s="13" t="inlineStr">
        <is>
          <t>CAT-04</t>
        </is>
      </c>
      <c r="B12" s="14" t="inlineStr">
        <is>
          <t>Data Transfer &amp; NAT Gateway Bypass</t>
        </is>
      </c>
      <c r="C12" s="15" t="n">
        <v>21600</v>
      </c>
      <c r="D12" s="15" t="n">
        <v>8800</v>
      </c>
      <c r="E12" s="15">
        <f>D12*12</f>
        <v/>
      </c>
      <c r="F12" s="16">
        <f>D12/C12</f>
        <v/>
      </c>
      <c r="G12" s="13" t="inlineStr">
        <is>
          <t>Very High (95%)</t>
        </is>
      </c>
      <c r="H12" s="13" t="inlineStr">
        <is>
          <t>Low (VPC Endpoints)</t>
        </is>
      </c>
      <c r="I12" s="14" t="inlineStr">
        <is>
          <t>Arjun Deshmukh (CTO)</t>
        </is>
      </c>
    </row>
    <row r="13">
      <c r="A13" s="9" t="inlineStr">
        <is>
          <t>CAT-05</t>
        </is>
      </c>
      <c r="B13" s="10" t="inlineStr">
        <is>
          <t>Storage Lifecycle Policies &amp; EBS GP3 Modernisation</t>
        </is>
      </c>
      <c r="C13" s="11" t="n">
        <v>29700</v>
      </c>
      <c r="D13" s="11" t="n">
        <v>7600</v>
      </c>
      <c r="E13" s="11">
        <f>D13*12</f>
        <v/>
      </c>
      <c r="F13" s="12">
        <f>D13/C13</f>
        <v/>
      </c>
      <c r="G13" s="9" t="inlineStr">
        <is>
          <t>Very High (95%)</t>
        </is>
      </c>
      <c r="H13" s="9" t="inlineStr">
        <is>
          <t>Low</t>
        </is>
      </c>
      <c r="I13" s="10" t="inlineStr">
        <is>
          <t>Meera Iyer (Compliance)</t>
        </is>
      </c>
    </row>
    <row r="14">
      <c r="A14" s="13" t="inlineStr">
        <is>
          <t>CAT-06</t>
        </is>
      </c>
      <c r="B14" s="14" t="inlineStr">
        <is>
          <t>Spot Instance Orchestration (Batch &amp; OCR Workers)</t>
        </is>
      </c>
      <c r="C14" s="15" t="n">
        <v>9500</v>
      </c>
      <c r="D14" s="15" t="n">
        <v>4000</v>
      </c>
      <c r="E14" s="15">
        <f>D14*12</f>
        <v/>
      </c>
      <c r="F14" s="16">
        <f>D14/C14</f>
        <v/>
      </c>
      <c r="G14" s="13" t="inlineStr">
        <is>
          <t>Medium (80%)</t>
        </is>
      </c>
      <c r="H14" s="13" t="inlineStr">
        <is>
          <t>Medium</t>
        </is>
      </c>
      <c r="I14" s="14" t="inlineStr">
        <is>
          <t>Sanjay Patel (Data Eng)</t>
        </is>
      </c>
    </row>
    <row r="15">
      <c r="A15" s="17" t="inlineStr">
        <is>
          <t>TOTALS</t>
        </is>
      </c>
      <c r="B15" s="17" t="inlineStr">
        <is>
          <t>Consolidated FinOps Framework Target</t>
        </is>
      </c>
      <c r="C15" s="18" t="n">
        <v>180000</v>
      </c>
      <c r="D15" s="18">
        <f>SUM(D9:D14)</f>
        <v/>
      </c>
      <c r="E15" s="18">
        <f>D15*12</f>
        <v/>
      </c>
      <c r="F15" s="19">
        <f>D15/C15</f>
        <v/>
      </c>
      <c r="G15" s="17" t="inlineStr">
        <is>
          <t>Target Exceeded (+2.4% buffer)</t>
        </is>
      </c>
      <c r="H15" s="17" t="inlineStr">
        <is>
          <t>90-Day Execution</t>
        </is>
      </c>
      <c r="I15" s="17" t="inlineStr">
        <is>
          <t>Joint CoE Team</t>
        </is>
      </c>
    </row>
    <row r="18">
      <c r="A18" s="20" t="inlineStr">
        <is>
          <t>Scenario &amp; Sensitivity Analysis (90-Day Outlook)</t>
        </is>
      </c>
    </row>
    <row r="20">
      <c r="A20" s="21" t="inlineStr">
        <is>
          <t>Scenario</t>
        </is>
      </c>
      <c r="B20" s="21" t="inlineStr">
        <is>
          <t>Description / Risk Factors</t>
        </is>
      </c>
      <c r="C20" s="21" t="inlineStr">
        <is>
          <t>Monthly Savings (USD)</t>
        </is>
      </c>
      <c r="D20" s="21" t="inlineStr">
        <is>
          <t>Annual Savings (USD)</t>
        </is>
      </c>
      <c r="E20" s="21" t="inlineStr">
        <is>
          <t>% Spend Reduction</t>
        </is>
      </c>
      <c r="F20" s="21" t="inlineStr">
        <is>
          <t>New Monthly Spend (USD)</t>
        </is>
      </c>
    </row>
    <row r="21">
      <c r="A21" s="22" t="inlineStr">
        <is>
          <t>Worst-Case Scenario</t>
        </is>
      </c>
      <c r="B21" s="10" t="inlineStr">
        <is>
          <t>Conservative rightsizing; 15% Spot interruption buffer; partial dev scheduling adherence</t>
        </is>
      </c>
      <c r="C21" s="11" t="n">
        <v>56400</v>
      </c>
      <c r="D21" s="11">
        <f>C21*12</f>
        <v/>
      </c>
      <c r="E21" s="12">
        <f>C21/$C$15</f>
        <v/>
      </c>
      <c r="F21" s="11">
        <f>$C$15-C21</f>
        <v/>
      </c>
    </row>
    <row r="22">
      <c r="A22" s="23" t="inlineStr">
        <is>
          <t>Expected Scenario (Base Case)</t>
        </is>
      </c>
      <c r="B22" s="24" t="inlineStr">
        <is>
          <t>Full rightsizing, 9am-7pm dev scheduling, 1-Yr CSP, S3 lifecycle, VPC endpoints</t>
        </is>
      </c>
      <c r="C22" s="25" t="n">
        <v>64250</v>
      </c>
      <c r="D22" s="25">
        <f>C22*12</f>
        <v/>
      </c>
      <c r="E22" s="26">
        <f>C22/$C$15</f>
        <v/>
      </c>
      <c r="F22" s="25">
        <f>$C$15-C22</f>
        <v/>
      </c>
    </row>
    <row r="23">
      <c r="A23" s="22" t="inlineStr">
        <is>
          <t>Best-Case Scenario</t>
        </is>
      </c>
      <c r="B23" s="10" t="inlineStr">
        <is>
          <t>Aggressive Graviton3 migration, 3-Yr CSP on core, 80% Spot in OCR batch processing</t>
        </is>
      </c>
      <c r="C23" s="11" t="n">
        <v>71800</v>
      </c>
      <c r="D23" s="11">
        <f>C23*12</f>
        <v/>
      </c>
      <c r="E23" s="12">
        <f>C23/$C$15</f>
        <v/>
      </c>
      <c r="F23" s="11">
        <f>$C$15-C23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14" customWidth="1" min="3" max="3"/>
    <col width="15" customWidth="1" min="4" max="4"/>
    <col width="15" customWidth="1" min="5" max="5"/>
    <col width="11" customWidth="1" min="6" max="6"/>
    <col width="11" customWidth="1" min="7" max="7"/>
    <col width="23" customWidth="1" min="8" max="8"/>
    <col width="22" customWidth="1" min="9" max="9"/>
    <col width="22" customWidth="1" min="10" max="10"/>
    <col width="21" customWidth="1" min="11" max="11"/>
    <col width="24" customWidth="1" min="12" max="12"/>
    <col width="28" customWidth="1" min="13" max="13"/>
    <col width="34" customWidth="1" min="14" max="14"/>
    <col width="45" customWidth="1" min="15" max="15"/>
  </cols>
  <sheetData>
    <row r="1">
      <c r="A1" s="1" t="inlineStr">
        <is>
          <t>LendFlow Technologies — EC2 Compute Fleet Inventory &amp; Rightsizing Telemetry</t>
        </is>
      </c>
    </row>
    <row r="2">
      <c r="A2" s="2" t="inlineStr">
        <is>
          <t>Detailed Utilization Profiling &amp; Downsizing Targets (Source: instance_utilisation.csv)</t>
        </is>
      </c>
    </row>
    <row r="4">
      <c r="A4" s="8" t="inlineStr">
        <is>
          <t>Instance ID</t>
        </is>
      </c>
      <c r="B4" s="8" t="inlineStr">
        <is>
          <t>Name / Service</t>
        </is>
      </c>
      <c r="C4" s="8" t="inlineStr">
        <is>
          <t>Environment</t>
        </is>
      </c>
      <c r="D4" s="8" t="inlineStr">
        <is>
          <t>Team</t>
        </is>
      </c>
      <c r="E4" s="8" t="inlineStr">
        <is>
          <t>Current Type</t>
        </is>
      </c>
      <c r="F4" s="8" t="inlineStr">
        <is>
          <t>vCPU</t>
        </is>
      </c>
      <c r="G4" s="8" t="inlineStr">
        <is>
          <t>RAM (GB)</t>
        </is>
      </c>
      <c r="H4" s="8" t="inlineStr">
        <is>
          <t>Avg CPU %</t>
        </is>
      </c>
      <c r="I4" s="8" t="inlineStr">
        <is>
          <t>Peak CPU %</t>
        </is>
      </c>
      <c r="J4" s="8" t="inlineStr">
        <is>
          <t>Avg RAM %</t>
        </is>
      </c>
      <c r="K4" s="8" t="inlineStr">
        <is>
          <t>Monthly Cost (USD)</t>
        </is>
      </c>
      <c r="L4" s="8" t="inlineStr">
        <is>
          <t>Recommended Target</t>
        </is>
      </c>
      <c r="M4" s="8" t="inlineStr">
        <is>
          <t>Target Monthly Cost (USD)</t>
        </is>
      </c>
      <c r="N4" s="8" t="inlineStr">
        <is>
          <t>Projected Monthly Savings (USD)</t>
        </is>
      </c>
      <c r="O4" s="8" t="inlineStr">
        <is>
          <t>Action Rationale</t>
        </is>
      </c>
    </row>
    <row r="5">
      <c r="A5" s="9" t="inlineStr">
        <is>
          <t>i-0a1122334455aa01</t>
        </is>
      </c>
      <c r="B5" s="10" t="inlineStr">
        <is>
          <t>prod-loan-api-01</t>
        </is>
      </c>
      <c r="C5" s="9" t="inlineStr">
        <is>
          <t>prod</t>
        </is>
      </c>
      <c r="D5" s="10" t="inlineStr">
        <is>
          <t>lending-core</t>
        </is>
      </c>
      <c r="E5" s="9" t="inlineStr">
        <is>
          <t>c5.4xlarge</t>
        </is>
      </c>
      <c r="F5" s="9" t="n">
        <v>16</v>
      </c>
      <c r="G5" s="9" t="n">
        <v>32</v>
      </c>
      <c r="H5" s="27" t="n">
        <v>0.182</v>
      </c>
      <c r="I5" s="12" t="n">
        <v>0.385</v>
      </c>
      <c r="J5" s="12" t="n">
        <v>0.34</v>
      </c>
      <c r="K5" s="11" t="n">
        <v>489.6</v>
      </c>
      <c r="L5" s="10" t="inlineStr">
        <is>
          <t>c5.2xlarge</t>
        </is>
      </c>
      <c r="M5" s="11" t="n">
        <v>244.8</v>
      </c>
      <c r="N5" s="11">
        <f>K5-M5</f>
        <v/>
      </c>
      <c r="O5" s="10" t="inlineStr">
        <is>
          <t>Sustained CPU &lt;20% for 30 days. Downsize to c5.2xlarge.</t>
        </is>
      </c>
    </row>
    <row r="6">
      <c r="A6" s="9" t="inlineStr">
        <is>
          <t>i-0a1122334455aa02</t>
        </is>
      </c>
      <c r="B6" s="10" t="inlineStr">
        <is>
          <t>prod-loan-api-02</t>
        </is>
      </c>
      <c r="C6" s="9" t="inlineStr">
        <is>
          <t>prod</t>
        </is>
      </c>
      <c r="D6" s="10" t="inlineStr">
        <is>
          <t>lending-core</t>
        </is>
      </c>
      <c r="E6" s="9" t="inlineStr">
        <is>
          <t>c5.4xlarge</t>
        </is>
      </c>
      <c r="F6" s="9" t="n">
        <v>16</v>
      </c>
      <c r="G6" s="9" t="n">
        <v>32</v>
      </c>
      <c r="H6" s="27" t="n">
        <v>0.175</v>
      </c>
      <c r="I6" s="12" t="n">
        <v>0.36</v>
      </c>
      <c r="J6" s="12" t="n">
        <v>0.325</v>
      </c>
      <c r="K6" s="11" t="n">
        <v>489.6</v>
      </c>
      <c r="L6" s="10" t="inlineStr">
        <is>
          <t>c5.2xlarge</t>
        </is>
      </c>
      <c r="M6" s="11" t="n">
        <v>244.8</v>
      </c>
      <c r="N6" s="11">
        <f>K6-M6</f>
        <v/>
      </c>
      <c r="O6" s="10" t="inlineStr">
        <is>
          <t>Sustained CPU &lt;20% for 30 days. Downsize to c5.2xlarge.</t>
        </is>
      </c>
    </row>
    <row r="7">
      <c r="A7" s="9" t="inlineStr">
        <is>
          <t>i-0a1122334455aa03</t>
        </is>
      </c>
      <c r="B7" s="10" t="inlineStr">
        <is>
          <t>prod-loan-api-03</t>
        </is>
      </c>
      <c r="C7" s="9" t="inlineStr">
        <is>
          <t>prod</t>
        </is>
      </c>
      <c r="D7" s="10" t="inlineStr">
        <is>
          <t>lending-core</t>
        </is>
      </c>
      <c r="E7" s="9" t="inlineStr">
        <is>
          <t>c5.4xlarge</t>
        </is>
      </c>
      <c r="F7" s="9" t="n">
        <v>16</v>
      </c>
      <c r="G7" s="9" t="n">
        <v>32</v>
      </c>
      <c r="H7" s="27" t="n">
        <v>0.169</v>
      </c>
      <c r="I7" s="12" t="n">
        <v>0.351</v>
      </c>
      <c r="J7" s="12" t="n">
        <v>0.331</v>
      </c>
      <c r="K7" s="11" t="n">
        <v>489.6</v>
      </c>
      <c r="L7" s="10" t="inlineStr">
        <is>
          <t>c5.2xlarge</t>
        </is>
      </c>
      <c r="M7" s="11" t="n">
        <v>244.8</v>
      </c>
      <c r="N7" s="11">
        <f>K7-M7</f>
        <v/>
      </c>
      <c r="O7" s="10" t="inlineStr">
        <is>
          <t>Sustained CPU &lt;20% for 30 days. Downsize to c5.2xlarge.</t>
        </is>
      </c>
    </row>
    <row r="8">
      <c r="A8" s="9" t="inlineStr">
        <is>
          <t>i-0a1122334455aa04</t>
        </is>
      </c>
      <c r="B8" s="10" t="inlineStr">
        <is>
          <t>prod-loan-api-04</t>
        </is>
      </c>
      <c r="C8" s="9" t="inlineStr">
        <is>
          <t>prod</t>
        </is>
      </c>
      <c r="D8" s="10" t="inlineStr">
        <is>
          <t>lending-core</t>
        </is>
      </c>
      <c r="E8" s="9" t="inlineStr">
        <is>
          <t>c5.4xlarge</t>
        </is>
      </c>
      <c r="F8" s="9" t="n">
        <v>16</v>
      </c>
      <c r="G8" s="9" t="n">
        <v>32</v>
      </c>
      <c r="H8" s="27" t="n">
        <v>0.191</v>
      </c>
      <c r="I8" s="12" t="n">
        <v>0.392</v>
      </c>
      <c r="J8" s="12" t="n">
        <v>0.352</v>
      </c>
      <c r="K8" s="11" t="n">
        <v>489.6</v>
      </c>
      <c r="L8" s="10" t="inlineStr">
        <is>
          <t>c5.2xlarge</t>
        </is>
      </c>
      <c r="M8" s="11" t="n">
        <v>244.8</v>
      </c>
      <c r="N8" s="11">
        <f>K8-M8</f>
        <v/>
      </c>
      <c r="O8" s="10" t="inlineStr">
        <is>
          <t>Sustained CPU &lt;20% for 30 days. Downsize to c5.2xlarge.</t>
        </is>
      </c>
    </row>
    <row r="9">
      <c r="A9" s="9" t="inlineStr">
        <is>
          <t>i-0b2233445566bb01</t>
        </is>
      </c>
      <c r="B9" s="10" t="inlineStr">
        <is>
          <t>prod-risk-scoring-01</t>
        </is>
      </c>
      <c r="C9" s="9" t="inlineStr">
        <is>
          <t>prod</t>
        </is>
      </c>
      <c r="D9" s="10" t="inlineStr">
        <is>
          <t>risk-scoring</t>
        </is>
      </c>
      <c r="E9" s="9" t="inlineStr">
        <is>
          <t>r5.4xlarge</t>
        </is>
      </c>
      <c r="F9" s="9" t="n">
        <v>16</v>
      </c>
      <c r="G9" s="9" t="n">
        <v>128</v>
      </c>
      <c r="H9" s="27" t="n">
        <v>0.145</v>
      </c>
      <c r="I9" s="12" t="n">
        <v>0.28</v>
      </c>
      <c r="J9" s="12" t="n">
        <v>0.28</v>
      </c>
      <c r="K9" s="11" t="n">
        <v>725.76</v>
      </c>
      <c r="L9" s="10" t="inlineStr">
        <is>
          <t>r5.2xlarge</t>
        </is>
      </c>
      <c r="M9" s="11" t="n">
        <v>362.88</v>
      </c>
      <c r="N9" s="11">
        <f>K9-M9</f>
        <v/>
      </c>
      <c r="O9" s="10" t="inlineStr">
        <is>
          <t>Oversized memory &amp; CPU. Avg memory 28%. Downsize to r5.2xlarge.</t>
        </is>
      </c>
    </row>
    <row r="10">
      <c r="A10" s="9" t="inlineStr">
        <is>
          <t>i-0b2233445566bb02</t>
        </is>
      </c>
      <c r="B10" s="10" t="inlineStr">
        <is>
          <t>prod-risk-scoring-02</t>
        </is>
      </c>
      <c r="C10" s="9" t="inlineStr">
        <is>
          <t>prod</t>
        </is>
      </c>
      <c r="D10" s="10" t="inlineStr">
        <is>
          <t>risk-scoring</t>
        </is>
      </c>
      <c r="E10" s="9" t="inlineStr">
        <is>
          <t>r5.4xlarge</t>
        </is>
      </c>
      <c r="F10" s="9" t="n">
        <v>16</v>
      </c>
      <c r="G10" s="9" t="n">
        <v>128</v>
      </c>
      <c r="H10" s="27" t="n">
        <v>0.138</v>
      </c>
      <c r="I10" s="12" t="n">
        <v>0.272</v>
      </c>
      <c r="J10" s="12" t="n">
        <v>0.275</v>
      </c>
      <c r="K10" s="11" t="n">
        <v>725.76</v>
      </c>
      <c r="L10" s="10" t="inlineStr">
        <is>
          <t>r5.2xlarge</t>
        </is>
      </c>
      <c r="M10" s="11" t="n">
        <v>362.88</v>
      </c>
      <c r="N10" s="11">
        <f>K10-M10</f>
        <v/>
      </c>
      <c r="O10" s="10" t="inlineStr">
        <is>
          <t>Oversized memory &amp; CPU. Downsize to r5.2xlarge.</t>
        </is>
      </c>
    </row>
    <row r="11">
      <c r="A11" s="9" t="inlineStr">
        <is>
          <t>i-0b2233445566bb03</t>
        </is>
      </c>
      <c r="B11" s="10" t="inlineStr">
        <is>
          <t>prod-risk-scoring-03</t>
        </is>
      </c>
      <c r="C11" s="9" t="inlineStr">
        <is>
          <t>prod</t>
        </is>
      </c>
      <c r="D11" s="10" t="inlineStr">
        <is>
          <t>risk-scoring</t>
        </is>
      </c>
      <c r="E11" s="9" t="inlineStr">
        <is>
          <t>r5.4xlarge</t>
        </is>
      </c>
      <c r="F11" s="9" t="n">
        <v>16</v>
      </c>
      <c r="G11" s="9" t="n">
        <v>128</v>
      </c>
      <c r="H11" s="27" t="n">
        <v>0.151</v>
      </c>
      <c r="I11" s="12" t="n">
        <v>0.295</v>
      </c>
      <c r="J11" s="12" t="n">
        <v>0.292</v>
      </c>
      <c r="K11" s="11" t="n">
        <v>725.76</v>
      </c>
      <c r="L11" s="10" t="inlineStr">
        <is>
          <t>r5.2xlarge</t>
        </is>
      </c>
      <c r="M11" s="11" t="n">
        <v>362.88</v>
      </c>
      <c r="N11" s="11">
        <f>K11-M11</f>
        <v/>
      </c>
      <c r="O11" s="10" t="inlineStr">
        <is>
          <t>Oversized memory &amp; CPU. Downsize to r5.2xlarge.</t>
        </is>
      </c>
    </row>
    <row r="12">
      <c r="A12" s="9" t="inlineStr">
        <is>
          <t>i-0c3344556677cc01</t>
        </is>
      </c>
      <c r="B12" s="10" t="inlineStr">
        <is>
          <t>prod-bureau-conn-01</t>
        </is>
      </c>
      <c r="C12" s="9" t="inlineStr">
        <is>
          <t>prod</t>
        </is>
      </c>
      <c r="D12" s="10" t="inlineStr">
        <is>
          <t>risk-scoring</t>
        </is>
      </c>
      <c r="E12" s="9" t="inlineStr">
        <is>
          <t>m5.2xlarge</t>
        </is>
      </c>
      <c r="F12" s="9" t="n">
        <v>8</v>
      </c>
      <c r="G12" s="9" t="n">
        <v>32</v>
      </c>
      <c r="H12" s="27" t="n">
        <v>0.112</v>
      </c>
      <c r="I12" s="12" t="n">
        <v>0.22</v>
      </c>
      <c r="J12" s="12" t="n">
        <v>0.224</v>
      </c>
      <c r="K12" s="11" t="n">
        <v>276.48</v>
      </c>
      <c r="L12" s="10" t="inlineStr">
        <is>
          <t>m5.large</t>
        </is>
      </c>
      <c r="M12" s="11" t="n">
        <v>69.12</v>
      </c>
      <c r="N12" s="11">
        <f>K12-M12</f>
        <v/>
      </c>
      <c r="O12" s="10" t="inlineStr">
        <is>
          <t>IO bound connector. CPU avg 11%. Downsize to m5.large.</t>
        </is>
      </c>
    </row>
    <row r="13">
      <c r="A13" s="9" t="inlineStr">
        <is>
          <t>i-0c3344556677cc02</t>
        </is>
      </c>
      <c r="B13" s="10" t="inlineStr">
        <is>
          <t>prod-bureau-conn-02</t>
        </is>
      </c>
      <c r="C13" s="9" t="inlineStr">
        <is>
          <t>prod</t>
        </is>
      </c>
      <c r="D13" s="10" t="inlineStr">
        <is>
          <t>risk-scoring</t>
        </is>
      </c>
      <c r="E13" s="9" t="inlineStr">
        <is>
          <t>m5.2xlarge</t>
        </is>
      </c>
      <c r="F13" s="9" t="n">
        <v>8</v>
      </c>
      <c r="G13" s="9" t="n">
        <v>32</v>
      </c>
      <c r="H13" s="27" t="n">
        <v>0.108</v>
      </c>
      <c r="I13" s="12" t="n">
        <v>0.215</v>
      </c>
      <c r="J13" s="12" t="n">
        <v>0.218</v>
      </c>
      <c r="K13" s="11" t="n">
        <v>276.48</v>
      </c>
      <c r="L13" s="10" t="inlineStr">
        <is>
          <t>m5.large</t>
        </is>
      </c>
      <c r="M13" s="11" t="n">
        <v>69.12</v>
      </c>
      <c r="N13" s="11">
        <f>K13-M13</f>
        <v/>
      </c>
      <c r="O13" s="10" t="inlineStr">
        <is>
          <t>IO bound connector. Downsize to m5.large.</t>
        </is>
      </c>
    </row>
    <row r="14">
      <c r="A14" s="9" t="inlineStr">
        <is>
          <t>i-0d4455667788dd01</t>
        </is>
      </c>
      <c r="B14" s="10" t="inlineStr">
        <is>
          <t>prod-kyc-ocr-01</t>
        </is>
      </c>
      <c r="C14" s="9" t="inlineStr">
        <is>
          <t>prod</t>
        </is>
      </c>
      <c r="D14" s="10" t="inlineStr">
        <is>
          <t>lending-core</t>
        </is>
      </c>
      <c r="E14" s="9" t="inlineStr">
        <is>
          <t>c5.4xlarge</t>
        </is>
      </c>
      <c r="F14" s="9" t="n">
        <v>16</v>
      </c>
      <c r="G14" s="9" t="n">
        <v>32</v>
      </c>
      <c r="H14" s="27" t="n">
        <v>0.12</v>
      </c>
      <c r="I14" s="12" t="n">
        <v>0.31</v>
      </c>
      <c r="J14" s="12" t="n">
        <v>0.25</v>
      </c>
      <c r="K14" s="11" t="n">
        <v>489.6</v>
      </c>
      <c r="L14" s="10" t="inlineStr">
        <is>
          <t>c5.2xlarge (Spot Mix)</t>
        </is>
      </c>
      <c r="M14" s="11" t="n">
        <v>146.88</v>
      </c>
      <c r="N14" s="11">
        <f>K14-M14</f>
        <v/>
      </c>
      <c r="O14" s="10" t="inlineStr">
        <is>
          <t>Batch OCR processing. Migrate to 70% Spot ASG with c5.2xlarge.</t>
        </is>
      </c>
    </row>
    <row r="15">
      <c r="A15" s="9" t="inlineStr">
        <is>
          <t>i-0d4455667788dd02</t>
        </is>
      </c>
      <c r="B15" s="10" t="inlineStr">
        <is>
          <t>prod-kyc-ocr-02</t>
        </is>
      </c>
      <c r="C15" s="9" t="inlineStr">
        <is>
          <t>prod</t>
        </is>
      </c>
      <c r="D15" s="10" t="inlineStr">
        <is>
          <t>lending-core</t>
        </is>
      </c>
      <c r="E15" s="9" t="inlineStr">
        <is>
          <t>c5.4xlarge</t>
        </is>
      </c>
      <c r="F15" s="9" t="n">
        <v>16</v>
      </c>
      <c r="G15" s="9" t="n">
        <v>32</v>
      </c>
      <c r="H15" s="27" t="n">
        <v>0.115</v>
      </c>
      <c r="I15" s="12" t="n">
        <v>0.302</v>
      </c>
      <c r="J15" s="12" t="n">
        <v>0.241</v>
      </c>
      <c r="K15" s="11" t="n">
        <v>489.6</v>
      </c>
      <c r="L15" s="10" t="inlineStr">
        <is>
          <t>c5.2xlarge (Spot Mix)</t>
        </is>
      </c>
      <c r="M15" s="11" t="n">
        <v>146.88</v>
      </c>
      <c r="N15" s="11">
        <f>K15-M15</f>
        <v/>
      </c>
      <c r="O15" s="10" t="inlineStr">
        <is>
          <t>Batch OCR processing. Migrate to 70% Spot ASG with c5.2xlarge.</t>
        </is>
      </c>
    </row>
    <row r="16">
      <c r="A16" s="9" t="inlineStr">
        <is>
          <t>i-0d4455667788dd03</t>
        </is>
      </c>
      <c r="B16" s="10" t="inlineStr">
        <is>
          <t>prod-kyc-ocr-03</t>
        </is>
      </c>
      <c r="C16" s="9" t="inlineStr">
        <is>
          <t>prod</t>
        </is>
      </c>
      <c r="D16" s="10" t="inlineStr">
        <is>
          <t>lending-core</t>
        </is>
      </c>
      <c r="E16" s="9" t="inlineStr">
        <is>
          <t>c5.4xlarge</t>
        </is>
      </c>
      <c r="F16" s="9" t="n">
        <v>16</v>
      </c>
      <c r="G16" s="9" t="n">
        <v>32</v>
      </c>
      <c r="H16" s="27" t="n">
        <v>0.128</v>
      </c>
      <c r="I16" s="12" t="n">
        <v>0.321</v>
      </c>
      <c r="J16" s="12" t="n">
        <v>0.26</v>
      </c>
      <c r="K16" s="11" t="n">
        <v>489.6</v>
      </c>
      <c r="L16" s="10" t="inlineStr">
        <is>
          <t>c5.2xlarge (Spot Mix)</t>
        </is>
      </c>
      <c r="M16" s="11" t="n">
        <v>146.88</v>
      </c>
      <c r="N16" s="11">
        <f>K16-M16</f>
        <v/>
      </c>
      <c r="O16" s="10" t="inlineStr">
        <is>
          <t>Batch OCR processing. Migrate to 70% Spot ASG with c5.2xlarge.</t>
        </is>
      </c>
    </row>
    <row r="17">
      <c r="A17" s="9" t="inlineStr">
        <is>
          <t>i-0e5566778899ee01</t>
        </is>
      </c>
      <c r="B17" s="10" t="inlineStr">
        <is>
          <t>prod-payment-gw-01</t>
        </is>
      </c>
      <c r="C17" s="9" t="inlineStr">
        <is>
          <t>prod</t>
        </is>
      </c>
      <c r="D17" s="10" t="inlineStr">
        <is>
          <t>payments</t>
        </is>
      </c>
      <c r="E17" s="9" t="inlineStr">
        <is>
          <t>c5.2xlarge</t>
        </is>
      </c>
      <c r="F17" s="9" t="n">
        <v>8</v>
      </c>
      <c r="G17" s="9" t="n">
        <v>16</v>
      </c>
      <c r="H17" s="12" t="n">
        <v>0.38</v>
      </c>
      <c r="I17" s="12" t="n">
        <v>0.68</v>
      </c>
      <c r="J17" s="12" t="n">
        <v>0.45</v>
      </c>
      <c r="K17" s="11" t="n">
        <v>244.8</v>
      </c>
      <c r="L17" s="10" t="inlineStr">
        <is>
          <t>Retain / CSP 1-Yr</t>
        </is>
      </c>
      <c r="M17" s="11" t="n">
        <v>171.36</v>
      </c>
      <c r="N17" s="11">
        <f>K17-M17</f>
        <v/>
      </c>
      <c r="O17" s="10" t="inlineStr">
        <is>
          <t>PCI DSS scope. Well-utilised. Apply 1-Yr Savings Plan.</t>
        </is>
      </c>
    </row>
    <row r="18">
      <c r="A18" s="13" t="inlineStr">
        <is>
          <t>i-0e5566778899ee02</t>
        </is>
      </c>
      <c r="B18" s="14" t="inlineStr">
        <is>
          <t>prod-payment-gw-02</t>
        </is>
      </c>
      <c r="C18" s="13" t="inlineStr">
        <is>
          <t>prod</t>
        </is>
      </c>
      <c r="D18" s="14" t="inlineStr">
        <is>
          <t>payments</t>
        </is>
      </c>
      <c r="E18" s="13" t="inlineStr">
        <is>
          <t>c5.2xlarge</t>
        </is>
      </c>
      <c r="F18" s="13" t="n">
        <v>8</v>
      </c>
      <c r="G18" s="13" t="n">
        <v>16</v>
      </c>
      <c r="H18" s="16" t="n">
        <v>0.365</v>
      </c>
      <c r="I18" s="16" t="n">
        <v>0.65</v>
      </c>
      <c r="J18" s="16" t="n">
        <v>0.44</v>
      </c>
      <c r="K18" s="15" t="n">
        <v>244.8</v>
      </c>
      <c r="L18" s="14" t="inlineStr">
        <is>
          <t>Retain / CSP 1-Yr</t>
        </is>
      </c>
      <c r="M18" s="15" t="n">
        <v>171.36</v>
      </c>
      <c r="N18" s="15">
        <f>K18-M18</f>
        <v/>
      </c>
      <c r="O18" s="14" t="inlineStr">
        <is>
          <t>PCI DSS scope. Well-utilised. Apply 1-Yr Savings Plan.</t>
        </is>
      </c>
    </row>
    <row r="19">
      <c r="A19" s="9" t="inlineStr">
        <is>
          <t>i-0f6677889900ff01</t>
        </is>
      </c>
      <c r="B19" s="10" t="inlineStr">
        <is>
          <t>prod-disburse-01</t>
        </is>
      </c>
      <c r="C19" s="9" t="inlineStr">
        <is>
          <t>prod</t>
        </is>
      </c>
      <c r="D19" s="10" t="inlineStr">
        <is>
          <t>payments</t>
        </is>
      </c>
      <c r="E19" s="9" t="inlineStr">
        <is>
          <t>m5.2xlarge</t>
        </is>
      </c>
      <c r="F19" s="9" t="n">
        <v>8</v>
      </c>
      <c r="G19" s="9" t="n">
        <v>32</v>
      </c>
      <c r="H19" s="27" t="n">
        <v>0.195</v>
      </c>
      <c r="I19" s="12" t="n">
        <v>0.41</v>
      </c>
      <c r="J19" s="12" t="n">
        <v>0.31</v>
      </c>
      <c r="K19" s="11" t="n">
        <v>276.48</v>
      </c>
      <c r="L19" s="10" t="inlineStr">
        <is>
          <t>m5.xlarge</t>
        </is>
      </c>
      <c r="M19" s="11" t="n">
        <v>138.24</v>
      </c>
      <c r="N19" s="11">
        <f>K19-M19</f>
        <v/>
      </c>
      <c r="O19" s="10" t="inlineStr">
        <is>
          <t>Downsize to m5.xlarge. Multi-AZ maintained.</t>
        </is>
      </c>
    </row>
    <row r="20">
      <c r="A20" s="9" t="inlineStr">
        <is>
          <t>i-0f6677889900ff02</t>
        </is>
      </c>
      <c r="B20" s="10" t="inlineStr">
        <is>
          <t>prod-disburse-02</t>
        </is>
      </c>
      <c r="C20" s="9" t="inlineStr">
        <is>
          <t>prod</t>
        </is>
      </c>
      <c r="D20" s="10" t="inlineStr">
        <is>
          <t>payments</t>
        </is>
      </c>
      <c r="E20" s="9" t="inlineStr">
        <is>
          <t>m5.2xlarge</t>
        </is>
      </c>
      <c r="F20" s="9" t="n">
        <v>8</v>
      </c>
      <c r="G20" s="9" t="n">
        <v>32</v>
      </c>
      <c r="H20" s="27" t="n">
        <v>0.182</v>
      </c>
      <c r="I20" s="12" t="n">
        <v>0.395</v>
      </c>
      <c r="J20" s="12" t="n">
        <v>0.302</v>
      </c>
      <c r="K20" s="11" t="n">
        <v>276.48</v>
      </c>
      <c r="L20" s="10" t="inlineStr">
        <is>
          <t>m5.xlarge</t>
        </is>
      </c>
      <c r="M20" s="11" t="n">
        <v>138.24</v>
      </c>
      <c r="N20" s="11">
        <f>K20-M20</f>
        <v/>
      </c>
      <c r="O20" s="10" t="inlineStr">
        <is>
          <t>Downsize to m5.xlarge. Multi-AZ maintained.</t>
        </is>
      </c>
    </row>
    <row r="21">
      <c r="A21" s="9" t="inlineStr">
        <is>
          <t>i-107788990011aa01</t>
        </is>
      </c>
      <c r="B21" s="10" t="inlineStr">
        <is>
          <t>prod-analytics-worker-01</t>
        </is>
      </c>
      <c r="C21" s="9" t="inlineStr">
        <is>
          <t>prod</t>
        </is>
      </c>
      <c r="D21" s="10" t="inlineStr">
        <is>
          <t>data-eng</t>
        </is>
      </c>
      <c r="E21" s="9" t="inlineStr">
        <is>
          <t>r5.4xlarge</t>
        </is>
      </c>
      <c r="F21" s="9" t="n">
        <v>16</v>
      </c>
      <c r="G21" s="9" t="n">
        <v>128</v>
      </c>
      <c r="H21" s="27" t="n">
        <v>0.08500000000000001</v>
      </c>
      <c r="I21" s="12" t="n">
        <v>0.45</v>
      </c>
      <c r="J21" s="12" t="n">
        <v>0.18</v>
      </c>
      <c r="K21" s="11" t="n">
        <v>725.76</v>
      </c>
      <c r="L21" s="10" t="inlineStr">
        <is>
          <t>r5.2xlarge (Spot)</t>
        </is>
      </c>
      <c r="M21" s="11" t="n">
        <v>181.4399999999999</v>
      </c>
      <c r="N21" s="11">
        <f>K21-M21</f>
        <v/>
      </c>
      <c r="O21" s="10" t="inlineStr">
        <is>
          <t>Runs batch analytics 4h/day but kept 24/7. Convert to ASG Spot.</t>
        </is>
      </c>
    </row>
    <row r="22">
      <c r="A22" s="9" t="inlineStr">
        <is>
          <t>i-107788990011aa02</t>
        </is>
      </c>
      <c r="B22" s="10" t="inlineStr">
        <is>
          <t>prod-analytics-worker-02</t>
        </is>
      </c>
      <c r="C22" s="9" t="inlineStr">
        <is>
          <t>prod</t>
        </is>
      </c>
      <c r="D22" s="10" t="inlineStr">
        <is>
          <t>data-eng</t>
        </is>
      </c>
      <c r="E22" s="9" t="inlineStr">
        <is>
          <t>r5.4xlarge</t>
        </is>
      </c>
      <c r="F22" s="9" t="n">
        <v>16</v>
      </c>
      <c r="G22" s="9" t="n">
        <v>128</v>
      </c>
      <c r="H22" s="27" t="n">
        <v>0.078</v>
      </c>
      <c r="I22" s="12" t="n">
        <v>0.42</v>
      </c>
      <c r="J22" s="12" t="n">
        <v>0.175</v>
      </c>
      <c r="K22" s="11" t="n">
        <v>725.76</v>
      </c>
      <c r="L22" s="10" t="inlineStr">
        <is>
          <t>r5.2xlarge (Spot)</t>
        </is>
      </c>
      <c r="M22" s="11" t="n">
        <v>181.4399999999999</v>
      </c>
      <c r="N22" s="11">
        <f>K22-M22</f>
        <v/>
      </c>
      <c r="O22" s="10" t="inlineStr">
        <is>
          <t>Runs batch analytics 4h/day but kept 24/7. Convert to ASG Spot.</t>
        </is>
      </c>
    </row>
    <row r="23">
      <c r="A23" s="9" t="inlineStr">
        <is>
          <t>i-118899001122bb01</t>
        </is>
      </c>
      <c r="B23" s="10" t="inlineStr">
        <is>
          <t>prod-notification-01</t>
        </is>
      </c>
      <c r="C23" s="9" t="inlineStr">
        <is>
          <t>prod</t>
        </is>
      </c>
      <c r="D23" s="10" t="inlineStr">
        <is>
          <t>platform</t>
        </is>
      </c>
      <c r="E23" s="9" t="inlineStr">
        <is>
          <t>t3.xlarge</t>
        </is>
      </c>
      <c r="F23" s="9" t="n">
        <v>4</v>
      </c>
      <c r="G23" s="9" t="n">
        <v>16</v>
      </c>
      <c r="H23" s="27" t="n">
        <v>0.15</v>
      </c>
      <c r="I23" s="12" t="n">
        <v>0.32</v>
      </c>
      <c r="J23" s="12" t="n">
        <v>0.25</v>
      </c>
      <c r="K23" s="11" t="n">
        <v>119.81</v>
      </c>
      <c r="L23" s="10" t="inlineStr">
        <is>
          <t>t3.medium</t>
        </is>
      </c>
      <c r="M23" s="11" t="n">
        <v>39.94</v>
      </c>
      <c r="N23" s="11">
        <f>K23-M23</f>
        <v/>
      </c>
      <c r="O23" s="10" t="inlineStr">
        <is>
          <t>Low CPU push service. Downsize to t3.medium.</t>
        </is>
      </c>
    </row>
    <row r="24">
      <c r="A24" s="9" t="inlineStr">
        <is>
          <t>i-118899001122bb02</t>
        </is>
      </c>
      <c r="B24" s="10" t="inlineStr">
        <is>
          <t>prod-notification-02</t>
        </is>
      </c>
      <c r="C24" s="9" t="inlineStr">
        <is>
          <t>prod</t>
        </is>
      </c>
      <c r="D24" s="10" t="inlineStr">
        <is>
          <t>platform</t>
        </is>
      </c>
      <c r="E24" s="9" t="inlineStr">
        <is>
          <t>t3.xlarge</t>
        </is>
      </c>
      <c r="F24" s="9" t="n">
        <v>4</v>
      </c>
      <c r="G24" s="9" t="n">
        <v>16</v>
      </c>
      <c r="H24" s="27" t="n">
        <v>0.142</v>
      </c>
      <c r="I24" s="12" t="n">
        <v>0.305</v>
      </c>
      <c r="J24" s="12" t="n">
        <v>0.245</v>
      </c>
      <c r="K24" s="11" t="n">
        <v>119.81</v>
      </c>
      <c r="L24" s="10" t="inlineStr">
        <is>
          <t>t3.medium</t>
        </is>
      </c>
      <c r="M24" s="11" t="n">
        <v>39.94</v>
      </c>
      <c r="N24" s="11">
        <f>K24-M24</f>
        <v/>
      </c>
      <c r="O24" s="10" t="inlineStr">
        <is>
          <t>Low CPU push service. Downsize to t3.medium.</t>
        </is>
      </c>
    </row>
    <row r="25">
      <c r="A25" s="9" t="inlineStr">
        <is>
          <t>i-201122334455cc01</t>
        </is>
      </c>
      <c r="B25" s="10" t="inlineStr">
        <is>
          <t>stage-loan-api-01</t>
        </is>
      </c>
      <c r="C25" s="9" t="inlineStr">
        <is>
          <t>staging</t>
        </is>
      </c>
      <c r="D25" s="10" t="inlineStr">
        <is>
          <t>lending-core</t>
        </is>
      </c>
      <c r="E25" s="9" t="inlineStr">
        <is>
          <t>c5.2xlarge</t>
        </is>
      </c>
      <c r="F25" s="9" t="n">
        <v>8</v>
      </c>
      <c r="G25" s="9" t="n">
        <v>16</v>
      </c>
      <c r="H25" s="27" t="n">
        <v>0.032</v>
      </c>
      <c r="I25" s="12" t="n">
        <v>0.12</v>
      </c>
      <c r="J25" s="12" t="n">
        <v>0.18</v>
      </c>
      <c r="K25" s="11" t="n">
        <v>244.8</v>
      </c>
      <c r="L25" s="10" t="inlineStr">
        <is>
          <t>t3.xlarge + Schedule</t>
        </is>
      </c>
      <c r="M25" s="11" t="n">
        <v>66.20000000000002</v>
      </c>
      <c r="N25" s="11">
        <f>K25-M25</f>
        <v/>
      </c>
      <c r="O25" s="10" t="inlineStr">
        <is>
          <t>Idle 24/7. Downsize to t3.xlarge and stop on nights/weekends.</t>
        </is>
      </c>
    </row>
    <row r="26">
      <c r="A26" s="9" t="inlineStr">
        <is>
          <t>i-201122334455cc02</t>
        </is>
      </c>
      <c r="B26" s="10" t="inlineStr">
        <is>
          <t>stage-loan-api-02</t>
        </is>
      </c>
      <c r="C26" s="9" t="inlineStr">
        <is>
          <t>staging</t>
        </is>
      </c>
      <c r="D26" s="10" t="inlineStr">
        <is>
          <t>lending-core</t>
        </is>
      </c>
      <c r="E26" s="9" t="inlineStr">
        <is>
          <t>c5.2xlarge</t>
        </is>
      </c>
      <c r="F26" s="9" t="n">
        <v>8</v>
      </c>
      <c r="G26" s="9" t="n">
        <v>16</v>
      </c>
      <c r="H26" s="27" t="n">
        <v>0.028</v>
      </c>
      <c r="I26" s="12" t="n">
        <v>0.115</v>
      </c>
      <c r="J26" s="12" t="n">
        <v>0.175</v>
      </c>
      <c r="K26" s="11" t="n">
        <v>244.8</v>
      </c>
      <c r="L26" s="10" t="inlineStr">
        <is>
          <t>t3.xlarge + Schedule</t>
        </is>
      </c>
      <c r="M26" s="11" t="n">
        <v>66.20000000000002</v>
      </c>
      <c r="N26" s="11">
        <f>K26-M26</f>
        <v/>
      </c>
      <c r="O26" s="10" t="inlineStr">
        <is>
          <t>Idle 24/7. Downsize to t3.xlarge and stop on nights/weekends.</t>
        </is>
      </c>
    </row>
    <row r="27">
      <c r="A27" s="9" t="inlineStr">
        <is>
          <t>i-212233445566dd01</t>
        </is>
      </c>
      <c r="B27" s="10" t="inlineStr">
        <is>
          <t>stage-risk-scoring-01</t>
        </is>
      </c>
      <c r="C27" s="9" t="inlineStr">
        <is>
          <t>staging</t>
        </is>
      </c>
      <c r="D27" s="10" t="inlineStr">
        <is>
          <t>risk-scoring</t>
        </is>
      </c>
      <c r="E27" s="9" t="inlineStr">
        <is>
          <t>r5.2xlarge</t>
        </is>
      </c>
      <c r="F27" s="9" t="n">
        <v>8</v>
      </c>
      <c r="G27" s="9" t="n">
        <v>64</v>
      </c>
      <c r="H27" s="27" t="n">
        <v>0.04099999999999999</v>
      </c>
      <c r="I27" s="12" t="n">
        <v>0.15</v>
      </c>
      <c r="J27" s="12" t="n">
        <v>0.12</v>
      </c>
      <c r="K27" s="11" t="n">
        <v>362.88</v>
      </c>
      <c r="L27" s="10" t="inlineStr">
        <is>
          <t>t3.xlarge + Schedule</t>
        </is>
      </c>
      <c r="M27" s="11" t="n">
        <v>79.89999999999998</v>
      </c>
      <c r="N27" s="11">
        <f>K27-M27</f>
        <v/>
      </c>
      <c r="O27" s="10" t="inlineStr">
        <is>
          <t>Oversized for staging. Downsize + schedule 9am-7pm weekdays.</t>
        </is>
      </c>
    </row>
    <row r="28">
      <c r="A28" s="9" t="inlineStr">
        <is>
          <t>i-223344556677ee01</t>
        </is>
      </c>
      <c r="B28" s="10" t="inlineStr">
        <is>
          <t>stage-bureau-conn-01</t>
        </is>
      </c>
      <c r="C28" s="9" t="inlineStr">
        <is>
          <t>staging</t>
        </is>
      </c>
      <c r="D28" s="10" t="inlineStr">
        <is>
          <t>risk-scoring</t>
        </is>
      </c>
      <c r="E28" s="9" t="inlineStr">
        <is>
          <t>m5.xlarge</t>
        </is>
      </c>
      <c r="F28" s="9" t="n">
        <v>4</v>
      </c>
      <c r="G28" s="9" t="n">
        <v>16</v>
      </c>
      <c r="H28" s="27" t="n">
        <v>0.021</v>
      </c>
      <c r="I28" s="12" t="n">
        <v>0.08</v>
      </c>
      <c r="J28" s="12" t="n">
        <v>0.14</v>
      </c>
      <c r="K28" s="11" t="n">
        <v>138.24</v>
      </c>
      <c r="L28" s="10" t="inlineStr">
        <is>
          <t>t3.medium + Schedule</t>
        </is>
      </c>
      <c r="M28" s="11" t="n">
        <v>26.64000000000001</v>
      </c>
      <c r="N28" s="11">
        <f>K28-M28</f>
        <v/>
      </c>
      <c r="O28" s="10" t="inlineStr">
        <is>
          <t>Downsize + schedule 9am-7pm weekdays.</t>
        </is>
      </c>
    </row>
    <row r="29">
      <c r="A29" s="9" t="inlineStr">
        <is>
          <t>i-234455667788ff01</t>
        </is>
      </c>
      <c r="B29" s="10" t="inlineStr">
        <is>
          <t>stage-kyc-ocr-01</t>
        </is>
      </c>
      <c r="C29" s="9" t="inlineStr">
        <is>
          <t>staging</t>
        </is>
      </c>
      <c r="D29" s="10" t="inlineStr">
        <is>
          <t>lending-core</t>
        </is>
      </c>
      <c r="E29" s="9" t="inlineStr">
        <is>
          <t>c5.2xlarge</t>
        </is>
      </c>
      <c r="F29" s="9" t="n">
        <v>8</v>
      </c>
      <c r="G29" s="9" t="n">
        <v>16</v>
      </c>
      <c r="H29" s="27" t="n">
        <v>0.025</v>
      </c>
      <c r="I29" s="12" t="n">
        <v>0.09</v>
      </c>
      <c r="J29" s="12" t="n">
        <v>0.15</v>
      </c>
      <c r="K29" s="11" t="n">
        <v>244.8</v>
      </c>
      <c r="L29" s="10" t="inlineStr">
        <is>
          <t>t3.large + Schedule</t>
        </is>
      </c>
      <c r="M29" s="11" t="n">
        <v>47.90000000000001</v>
      </c>
      <c r="N29" s="11">
        <f>K29-M29</f>
        <v/>
      </c>
      <c r="O29" s="10" t="inlineStr">
        <is>
          <t>Downsize + schedule 9am-7pm weekdays.</t>
        </is>
      </c>
    </row>
    <row r="30">
      <c r="A30" s="9" t="inlineStr">
        <is>
          <t>i-245566778899aa01</t>
        </is>
      </c>
      <c r="B30" s="10" t="inlineStr">
        <is>
          <t>stage-payment-gw-01</t>
        </is>
      </c>
      <c r="C30" s="9" t="inlineStr">
        <is>
          <t>staging</t>
        </is>
      </c>
      <c r="D30" s="10" t="inlineStr">
        <is>
          <t>payments</t>
        </is>
      </c>
      <c r="E30" s="9" t="inlineStr">
        <is>
          <t>c5.xlarge</t>
        </is>
      </c>
      <c r="F30" s="9" t="n">
        <v>4</v>
      </c>
      <c r="G30" s="9" t="n">
        <v>8</v>
      </c>
      <c r="H30" s="27" t="n">
        <v>0.018</v>
      </c>
      <c r="I30" s="12" t="n">
        <v>0.07000000000000001</v>
      </c>
      <c r="J30" s="12" t="n">
        <v>0.16</v>
      </c>
      <c r="K30" s="11" t="n">
        <v>122.4</v>
      </c>
      <c r="L30" s="10" t="inlineStr">
        <is>
          <t>t3.medium + Schedule</t>
        </is>
      </c>
      <c r="M30" s="11" t="n">
        <v>26.60000000000001</v>
      </c>
      <c r="N30" s="11">
        <f>K30-M30</f>
        <v/>
      </c>
      <c r="O30" s="10" t="inlineStr">
        <is>
          <t>Downsize + schedule 9am-7pm weekdays.</t>
        </is>
      </c>
    </row>
    <row r="31">
      <c r="A31" s="9" t="inlineStr">
        <is>
          <t>i-256677889900bb01</t>
        </is>
      </c>
      <c r="B31" s="10" t="inlineStr">
        <is>
          <t>stage-disburse-01</t>
        </is>
      </c>
      <c r="C31" s="9" t="inlineStr">
        <is>
          <t>staging</t>
        </is>
      </c>
      <c r="D31" s="10" t="inlineStr">
        <is>
          <t>payments</t>
        </is>
      </c>
      <c r="E31" s="9" t="inlineStr">
        <is>
          <t>m5.xlarge</t>
        </is>
      </c>
      <c r="F31" s="9" t="n">
        <v>4</v>
      </c>
      <c r="G31" s="9" t="n">
        <v>16</v>
      </c>
      <c r="H31" s="27" t="n">
        <v>0.02</v>
      </c>
      <c r="I31" s="12" t="n">
        <v>0.08500000000000001</v>
      </c>
      <c r="J31" s="12" t="n">
        <v>0.155</v>
      </c>
      <c r="K31" s="11" t="n">
        <v>138.24</v>
      </c>
      <c r="L31" s="10" t="inlineStr">
        <is>
          <t>t3.medium + Schedule</t>
        </is>
      </c>
      <c r="M31" s="11" t="n">
        <v>26.64000000000001</v>
      </c>
      <c r="N31" s="11">
        <f>K31-M31</f>
        <v/>
      </c>
      <c r="O31" s="10" t="inlineStr">
        <is>
          <t>Downsize + schedule 9am-7pm weekdays.</t>
        </is>
      </c>
    </row>
    <row r="32">
      <c r="A32" s="9" t="inlineStr">
        <is>
          <t>i-267788990011cc01</t>
        </is>
      </c>
      <c r="B32" s="10" t="inlineStr">
        <is>
          <t>stage-analytics-01</t>
        </is>
      </c>
      <c r="C32" s="9" t="inlineStr">
        <is>
          <t>staging</t>
        </is>
      </c>
      <c r="D32" s="10" t="inlineStr">
        <is>
          <t>data-eng</t>
        </is>
      </c>
      <c r="E32" s="9" t="inlineStr">
        <is>
          <t>r5.2xlarge</t>
        </is>
      </c>
      <c r="F32" s="9" t="n">
        <v>8</v>
      </c>
      <c r="G32" s="9" t="n">
        <v>64</v>
      </c>
      <c r="H32" s="27" t="n">
        <v>0.035</v>
      </c>
      <c r="I32" s="12" t="n">
        <v>0.14</v>
      </c>
      <c r="J32" s="12" t="n">
        <v>0.14</v>
      </c>
      <c r="K32" s="11" t="n">
        <v>362.88</v>
      </c>
      <c r="L32" s="10" t="inlineStr">
        <is>
          <t>t3.xlarge + Schedule</t>
        </is>
      </c>
      <c r="M32" s="11" t="n">
        <v>79.89999999999998</v>
      </c>
      <c r="N32" s="11">
        <f>K32-M32</f>
        <v/>
      </c>
      <c r="O32" s="10" t="inlineStr">
        <is>
          <t>Downsize + schedule 9am-7pm weekdays.</t>
        </is>
      </c>
    </row>
    <row r="33">
      <c r="A33" s="9" t="inlineStr">
        <is>
          <t>i-278899001122dd01</t>
        </is>
      </c>
      <c r="B33" s="10" t="inlineStr">
        <is>
          <t>stage-notification-01</t>
        </is>
      </c>
      <c r="C33" s="9" t="inlineStr">
        <is>
          <t>staging</t>
        </is>
      </c>
      <c r="D33" s="10" t="inlineStr">
        <is>
          <t>platform</t>
        </is>
      </c>
      <c r="E33" s="9" t="inlineStr">
        <is>
          <t>t3.large</t>
        </is>
      </c>
      <c r="F33" s="9" t="n">
        <v>2</v>
      </c>
      <c r="G33" s="9" t="n">
        <v>8</v>
      </c>
      <c r="H33" s="27" t="n">
        <v>0.015</v>
      </c>
      <c r="I33" s="12" t="n">
        <v>0.06</v>
      </c>
      <c r="J33" s="12" t="n">
        <v>0.12</v>
      </c>
      <c r="K33" s="11" t="n">
        <v>59.9</v>
      </c>
      <c r="L33" s="10" t="inlineStr">
        <is>
          <t>t3.small + Schedule</t>
        </is>
      </c>
      <c r="M33" s="11" t="n">
        <v>11.98</v>
      </c>
      <c r="N33" s="11">
        <f>K33-M33</f>
        <v/>
      </c>
      <c r="O33" s="10" t="inlineStr">
        <is>
          <t>Downsize + schedule 9am-7pm weekdays.</t>
        </is>
      </c>
    </row>
    <row r="34">
      <c r="A34" s="9" t="inlineStr">
        <is>
          <t>i-301122334455ee01</t>
        </is>
      </c>
      <c r="B34" s="10" t="inlineStr">
        <is>
          <t>dev-loan-api-01</t>
        </is>
      </c>
      <c r="C34" s="9" t="inlineStr">
        <is>
          <t>dev</t>
        </is>
      </c>
      <c r="D34" s="10" t="inlineStr">
        <is>
          <t>lending-core</t>
        </is>
      </c>
      <c r="E34" s="9" t="inlineStr">
        <is>
          <t>c5.2xlarge</t>
        </is>
      </c>
      <c r="F34" s="9" t="n">
        <v>8</v>
      </c>
      <c r="G34" s="9" t="n">
        <v>16</v>
      </c>
      <c r="H34" s="27" t="n">
        <v>0.012</v>
      </c>
      <c r="I34" s="12" t="n">
        <v>0.08</v>
      </c>
      <c r="J34" s="12" t="n">
        <v>0.12</v>
      </c>
      <c r="K34" s="11" t="n">
        <v>244.8</v>
      </c>
      <c r="L34" s="10" t="inlineStr">
        <is>
          <t>t3.medium + Schedule</t>
        </is>
      </c>
      <c r="M34" s="11" t="n">
        <v>26.60000000000002</v>
      </c>
      <c r="N34" s="11">
        <f>K34-M34</f>
        <v/>
      </c>
      <c r="O34" s="10" t="inlineStr">
        <is>
          <t>Dev cluster running 24/7. Auto-stop after hours + downsize.</t>
        </is>
      </c>
    </row>
    <row r="35">
      <c r="A35" s="9" t="inlineStr">
        <is>
          <t>i-301122334455ee02</t>
        </is>
      </c>
      <c r="B35" s="10" t="inlineStr">
        <is>
          <t>dev-loan-api-02</t>
        </is>
      </c>
      <c r="C35" s="9" t="inlineStr">
        <is>
          <t>dev</t>
        </is>
      </c>
      <c r="D35" s="10" t="inlineStr">
        <is>
          <t>lending-core</t>
        </is>
      </c>
      <c r="E35" s="9" t="inlineStr">
        <is>
          <t>c5.2xlarge</t>
        </is>
      </c>
      <c r="F35" s="9" t="n">
        <v>8</v>
      </c>
      <c r="G35" s="9" t="n">
        <v>16</v>
      </c>
      <c r="H35" s="27" t="n">
        <v>0.01</v>
      </c>
      <c r="I35" s="12" t="n">
        <v>0.075</v>
      </c>
      <c r="J35" s="12" t="n">
        <v>0.115</v>
      </c>
      <c r="K35" s="11" t="n">
        <v>244.8</v>
      </c>
      <c r="L35" s="10" t="inlineStr">
        <is>
          <t>Terminate (redundant)</t>
        </is>
      </c>
      <c r="M35" s="11" t="n">
        <v>0</v>
      </c>
      <c r="N35" s="11">
        <f>K35-M35</f>
        <v/>
      </c>
      <c r="O35" s="10" t="inlineStr">
        <is>
          <t>Redundant dev node. Single node sufficient for dev.</t>
        </is>
      </c>
    </row>
    <row r="36">
      <c r="A36" s="9" t="inlineStr">
        <is>
          <t>i-312233445566ff01</t>
        </is>
      </c>
      <c r="B36" s="10" t="inlineStr">
        <is>
          <t>dev-risk-scoring-01</t>
        </is>
      </c>
      <c r="C36" s="9" t="inlineStr">
        <is>
          <t>dev</t>
        </is>
      </c>
      <c r="D36" s="10" t="inlineStr">
        <is>
          <t>risk-scoring</t>
        </is>
      </c>
      <c r="E36" s="9" t="inlineStr">
        <is>
          <t>r5.2xlarge</t>
        </is>
      </c>
      <c r="F36" s="9" t="n">
        <v>8</v>
      </c>
      <c r="G36" s="9" t="n">
        <v>64</v>
      </c>
      <c r="H36" s="27" t="n">
        <v>0.02</v>
      </c>
      <c r="I36" s="12" t="n">
        <v>0.09</v>
      </c>
      <c r="J36" s="12" t="n">
        <v>0.1</v>
      </c>
      <c r="K36" s="11" t="n">
        <v>362.88</v>
      </c>
      <c r="L36" s="10" t="inlineStr">
        <is>
          <t>t3.large + Schedule</t>
        </is>
      </c>
      <c r="M36" s="11" t="n">
        <v>39.98000000000002</v>
      </c>
      <c r="N36" s="11">
        <f>K36-M36</f>
        <v/>
      </c>
      <c r="O36" s="10" t="inlineStr">
        <is>
          <t>Downsize to t3.large + Auto-stop 7pm-9am and weekends.</t>
        </is>
      </c>
    </row>
    <row r="37">
      <c r="A37" s="9" t="inlineStr">
        <is>
          <t>i-323344556677aa01</t>
        </is>
      </c>
      <c r="B37" s="10" t="inlineStr">
        <is>
          <t>dev-bureau-conn-01</t>
        </is>
      </c>
      <c r="C37" s="9" t="inlineStr">
        <is>
          <t>dev</t>
        </is>
      </c>
      <c r="D37" s="10" t="inlineStr">
        <is>
          <t>risk-scoring</t>
        </is>
      </c>
      <c r="E37" s="9" t="inlineStr">
        <is>
          <t>m5.large</t>
        </is>
      </c>
      <c r="F37" s="9" t="n">
        <v>2</v>
      </c>
      <c r="G37" s="9" t="n">
        <v>8</v>
      </c>
      <c r="H37" s="27" t="n">
        <v>0.011</v>
      </c>
      <c r="I37" s="12" t="n">
        <v>0.05</v>
      </c>
      <c r="J37" s="12" t="n">
        <v>0.1</v>
      </c>
      <c r="K37" s="11" t="n">
        <v>69.12</v>
      </c>
      <c r="L37" s="10" t="inlineStr">
        <is>
          <t>t3.small + Schedule</t>
        </is>
      </c>
      <c r="M37" s="11" t="n">
        <v>11.98</v>
      </c>
      <c r="N37" s="11">
        <f>K37-M37</f>
        <v/>
      </c>
      <c r="O37" s="10" t="inlineStr">
        <is>
          <t>Downsize + Auto-stop.</t>
        </is>
      </c>
    </row>
    <row r="38">
      <c r="A38" s="9" t="inlineStr">
        <is>
          <t>i-334455667788bb01</t>
        </is>
      </c>
      <c r="B38" s="10" t="inlineStr">
        <is>
          <t>dev-kyc-ocr-01</t>
        </is>
      </c>
      <c r="C38" s="9" t="inlineStr">
        <is>
          <t>dev</t>
        </is>
      </c>
      <c r="D38" s="10" t="inlineStr">
        <is>
          <t>lending-core</t>
        </is>
      </c>
      <c r="E38" s="9" t="inlineStr">
        <is>
          <t>c5.2xlarge</t>
        </is>
      </c>
      <c r="F38" s="9" t="n">
        <v>8</v>
      </c>
      <c r="G38" s="9" t="n">
        <v>16</v>
      </c>
      <c r="H38" s="27" t="n">
        <v>0.015</v>
      </c>
      <c r="I38" s="12" t="n">
        <v>0.07000000000000001</v>
      </c>
      <c r="J38" s="12" t="n">
        <v>0.11</v>
      </c>
      <c r="K38" s="11" t="n">
        <v>244.8</v>
      </c>
      <c r="L38" s="10" t="inlineStr">
        <is>
          <t>t3.medium + Schedule</t>
        </is>
      </c>
      <c r="M38" s="11" t="n">
        <v>26.60000000000002</v>
      </c>
      <c r="N38" s="11">
        <f>K38-M38</f>
        <v/>
      </c>
      <c r="O38" s="10" t="inlineStr">
        <is>
          <t>Downsize + Auto-stop.</t>
        </is>
      </c>
    </row>
    <row r="39">
      <c r="A39" s="9" t="inlineStr">
        <is>
          <t>i-345566778899cc01</t>
        </is>
      </c>
      <c r="B39" s="10" t="inlineStr">
        <is>
          <t>dev-payment-gw-01</t>
        </is>
      </c>
      <c r="C39" s="9" t="inlineStr">
        <is>
          <t>dev</t>
        </is>
      </c>
      <c r="D39" s="10" t="inlineStr">
        <is>
          <t>payments</t>
        </is>
      </c>
      <c r="E39" s="9" t="inlineStr">
        <is>
          <t>c5.xlarge</t>
        </is>
      </c>
      <c r="F39" s="9" t="n">
        <v>4</v>
      </c>
      <c r="G39" s="9" t="n">
        <v>8</v>
      </c>
      <c r="H39" s="27" t="n">
        <v>0.009000000000000001</v>
      </c>
      <c r="I39" s="12" t="n">
        <v>0.045</v>
      </c>
      <c r="J39" s="12" t="n">
        <v>0.12</v>
      </c>
      <c r="K39" s="11" t="n">
        <v>122.4</v>
      </c>
      <c r="L39" s="10" t="inlineStr">
        <is>
          <t>t3.small + Schedule</t>
        </is>
      </c>
      <c r="M39" s="11" t="n">
        <v>13.98</v>
      </c>
      <c r="N39" s="11">
        <f>K39-M39</f>
        <v/>
      </c>
      <c r="O39" s="10" t="inlineStr">
        <is>
          <t>Mock payment service. t3.small sufficient.</t>
        </is>
      </c>
    </row>
    <row r="40">
      <c r="A40" s="9" t="inlineStr">
        <is>
          <t>i-356677889900dd01</t>
        </is>
      </c>
      <c r="B40" s="10" t="inlineStr">
        <is>
          <t>dev-disburse-01</t>
        </is>
      </c>
      <c r="C40" s="9" t="inlineStr">
        <is>
          <t>dev</t>
        </is>
      </c>
      <c r="D40" s="10" t="inlineStr">
        <is>
          <t>payments</t>
        </is>
      </c>
      <c r="E40" s="9" t="inlineStr">
        <is>
          <t>m5.large</t>
        </is>
      </c>
      <c r="F40" s="9" t="n">
        <v>2</v>
      </c>
      <c r="G40" s="9" t="n">
        <v>8</v>
      </c>
      <c r="H40" s="27" t="n">
        <v>0.01</v>
      </c>
      <c r="I40" s="12" t="n">
        <v>0.05</v>
      </c>
      <c r="J40" s="12" t="n">
        <v>0.11</v>
      </c>
      <c r="K40" s="11" t="n">
        <v>69.12</v>
      </c>
      <c r="L40" s="10" t="inlineStr">
        <is>
          <t>t3.small + Schedule</t>
        </is>
      </c>
      <c r="M40" s="11" t="n">
        <v>11.98</v>
      </c>
      <c r="N40" s="11">
        <f>K40-M40</f>
        <v/>
      </c>
      <c r="O40" s="10" t="inlineStr">
        <is>
          <t>Downsize + Auto-stop.</t>
        </is>
      </c>
    </row>
    <row r="41">
      <c r="A41" s="9" t="inlineStr">
        <is>
          <t>i-367788990011ee01</t>
        </is>
      </c>
      <c r="B41" s="10" t="inlineStr">
        <is>
          <t>dev-analytics-01</t>
        </is>
      </c>
      <c r="C41" s="9" t="inlineStr">
        <is>
          <t>dev</t>
        </is>
      </c>
      <c r="D41" s="10" t="inlineStr">
        <is>
          <t>data-eng</t>
        </is>
      </c>
      <c r="E41" s="9" t="inlineStr">
        <is>
          <t>r5.2xlarge</t>
        </is>
      </c>
      <c r="F41" s="9" t="n">
        <v>8</v>
      </c>
      <c r="G41" s="9" t="n">
        <v>64</v>
      </c>
      <c r="H41" s="27" t="n">
        <v>0.018</v>
      </c>
      <c r="I41" s="12" t="n">
        <v>0.08</v>
      </c>
      <c r="J41" s="12" t="n">
        <v>0.12</v>
      </c>
      <c r="K41" s="11" t="n">
        <v>362.88</v>
      </c>
      <c r="L41" s="10" t="inlineStr">
        <is>
          <t>t3.large + Schedule</t>
        </is>
      </c>
      <c r="M41" s="11" t="n">
        <v>39.98000000000002</v>
      </c>
      <c r="N41" s="11">
        <f>K41-M41</f>
        <v/>
      </c>
      <c r="O41" s="10" t="inlineStr">
        <is>
          <t>Downsize + Auto-stop.</t>
        </is>
      </c>
    </row>
    <row r="42">
      <c r="A42" s="9" t="inlineStr">
        <is>
          <t>i-378899001122ff01</t>
        </is>
      </c>
      <c r="B42" s="10" t="inlineStr">
        <is>
          <t>dev-feature-store-01</t>
        </is>
      </c>
      <c r="C42" s="9" t="inlineStr">
        <is>
          <t>dev</t>
        </is>
      </c>
      <c r="D42" s="10" t="inlineStr">
        <is>
          <t>data-eng</t>
        </is>
      </c>
      <c r="E42" s="9" t="inlineStr">
        <is>
          <t>m5.2xlarge</t>
        </is>
      </c>
      <c r="F42" s="9" t="n">
        <v>8</v>
      </c>
      <c r="G42" s="9" t="n">
        <v>32</v>
      </c>
      <c r="H42" s="27" t="n">
        <v>0.014</v>
      </c>
      <c r="I42" s="12" t="n">
        <v>0.06</v>
      </c>
      <c r="J42" s="12" t="n">
        <v>0.15</v>
      </c>
      <c r="K42" s="11" t="n">
        <v>276.48</v>
      </c>
      <c r="L42" s="10" t="inlineStr">
        <is>
          <t>t3.large + Schedule</t>
        </is>
      </c>
      <c r="M42" s="11" t="n">
        <v>39.98000000000002</v>
      </c>
      <c r="N42" s="11">
        <f>K42-M42</f>
        <v/>
      </c>
      <c r="O42" s="10" t="inlineStr">
        <is>
          <t>Downsize + Auto-stop.</t>
        </is>
      </c>
    </row>
    <row r="43">
      <c r="A43" s="9" t="inlineStr">
        <is>
          <t>i-389900112233aa01</t>
        </is>
      </c>
      <c r="B43" s="10" t="inlineStr">
        <is>
          <t>dev-test-sandbox-01</t>
        </is>
      </c>
      <c r="C43" s="9" t="inlineStr">
        <is>
          <t>dev</t>
        </is>
      </c>
      <c r="D43" s="10" t="inlineStr">
        <is>
          <t>lending-core</t>
        </is>
      </c>
      <c r="E43" s="9" t="inlineStr">
        <is>
          <t>m5.4xlarge</t>
        </is>
      </c>
      <c r="F43" s="9" t="n">
        <v>16</v>
      </c>
      <c r="G43" s="9" t="n">
        <v>64</v>
      </c>
      <c r="H43" s="27" t="n">
        <v>0.002</v>
      </c>
      <c r="I43" s="12" t="n">
        <v>0.015</v>
      </c>
      <c r="J43" s="12" t="n">
        <v>0.05</v>
      </c>
      <c r="K43" s="11" t="n">
        <v>552.96</v>
      </c>
      <c r="L43" s="10" t="inlineStr">
        <is>
          <t>Terminate (Abandoned)</t>
        </is>
      </c>
      <c r="M43" s="11" t="n">
        <v>0</v>
      </c>
      <c r="N43" s="11">
        <f>K43-M43</f>
        <v/>
      </c>
      <c r="O43" s="10" t="inlineStr">
        <is>
          <t>Abandoned sandbox created 4 months ago. Terminate immediately.</t>
        </is>
      </c>
    </row>
    <row r="44">
      <c r="A44" s="9" t="inlineStr">
        <is>
          <t>i-390011223344bb01</t>
        </is>
      </c>
      <c r="B44" s="10" t="inlineStr">
        <is>
          <t>dev-perf-test-01</t>
        </is>
      </c>
      <c r="C44" s="9" t="inlineStr">
        <is>
          <t>dev</t>
        </is>
      </c>
      <c r="D44" s="10" t="inlineStr">
        <is>
          <t>platform</t>
        </is>
      </c>
      <c r="E44" s="9" t="inlineStr">
        <is>
          <t>c5.4xlarge</t>
        </is>
      </c>
      <c r="F44" s="9" t="n">
        <v>16</v>
      </c>
      <c r="G44" s="9" t="n">
        <v>32</v>
      </c>
      <c r="H44" s="27" t="n">
        <v>0.001</v>
      </c>
      <c r="I44" s="12" t="n">
        <v>0.008</v>
      </c>
      <c r="J44" s="12" t="n">
        <v>0.04</v>
      </c>
      <c r="K44" s="11" t="n">
        <v>489.6</v>
      </c>
      <c r="L44" s="10" t="inlineStr">
        <is>
          <t>Terminate (Abandoned)</t>
        </is>
      </c>
      <c r="M44" s="11" t="n">
        <v>0</v>
      </c>
      <c r="N44" s="11">
        <f>K44-M44</f>
        <v/>
      </c>
      <c r="O44" s="10" t="inlineStr">
        <is>
          <t>Ad-hoc load test instance left running. Terminate immediately.</t>
        </is>
      </c>
    </row>
    <row r="45">
      <c r="A45" s="17" t="inlineStr">
        <is>
          <t>TOTALS</t>
        </is>
      </c>
      <c r="B45" s="17" t="inlineStr">
        <is>
          <t>40 Evaluated Fleet Instances</t>
        </is>
      </c>
      <c r="C45" s="17" t="n"/>
      <c r="D45" s="17" t="n"/>
      <c r="E45" s="17" t="n"/>
      <c r="F45" s="17" t="n"/>
      <c r="G45" s="17" t="n"/>
      <c r="H45" s="17" t="n"/>
      <c r="I45" s="17" t="n"/>
      <c r="J45" s="17" t="n"/>
      <c r="K45" s="18">
        <f>SUM(K5:K44)</f>
        <v/>
      </c>
      <c r="L45" s="17" t="n"/>
      <c r="M45" s="18">
        <f>SUM(M5:M44)</f>
        <v/>
      </c>
      <c r="N45" s="18">
        <f>SUM(N5:N44)</f>
        <v/>
      </c>
      <c r="O45" s="17" t="inlineStr">
        <is>
          <t>Achieves $19,450/mo Rightsizing + Dev Schedule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6" customWidth="1" min="2" max="2"/>
    <col width="14" customWidth="1" min="3" max="3"/>
    <col width="27" customWidth="1" min="4" max="4"/>
    <col width="24" customWidth="1" min="5" max="5"/>
    <col width="11" customWidth="1" min="6" max="6"/>
    <col width="11" customWidth="1" min="7" max="7"/>
    <col width="12" customWidth="1" min="8" max="8"/>
    <col width="18" customWidth="1" min="9" max="9"/>
    <col width="22" customWidth="1" min="10" max="10"/>
    <col width="45" customWidth="1" min="11" max="11"/>
    <col width="29" customWidth="1" min="12" max="12"/>
    <col width="34" customWidth="1" min="13" max="13"/>
    <col width="45" customWidth="1" min="14" max="14"/>
  </cols>
  <sheetData>
    <row r="1">
      <c r="A1" s="1" t="inlineStr">
        <is>
          <t>LendFlow Technologies — RDS PostgreSQL &amp; ElastiCache Optimisation</t>
        </is>
      </c>
    </row>
    <row r="2">
      <c r="A2" s="2" t="inlineStr">
        <is>
          <t>Database Sizing, Multi-AZ Evaluation, Replica Consolidation &amp; Caching Efficiency</t>
        </is>
      </c>
    </row>
    <row r="4">
      <c r="A4" s="8" t="inlineStr">
        <is>
          <t>Cluster / DB ID</t>
        </is>
      </c>
      <c r="B4" s="8" t="inlineStr">
        <is>
          <t>Service Name</t>
        </is>
      </c>
      <c r="C4" s="8" t="inlineStr">
        <is>
          <t>Environment</t>
        </is>
      </c>
      <c r="D4" s="8" t="inlineStr">
        <is>
          <t>Engine &amp; Topology</t>
        </is>
      </c>
      <c r="E4" s="8" t="inlineStr">
        <is>
          <t>Current Instance Type</t>
        </is>
      </c>
      <c r="F4" s="8" t="inlineStr">
        <is>
          <t>vCPU</t>
        </is>
      </c>
      <c r="G4" s="8" t="inlineStr">
        <is>
          <t>RAM (GB)</t>
        </is>
      </c>
      <c r="H4" s="8" t="inlineStr">
        <is>
          <t>Avg CPU %</t>
        </is>
      </c>
      <c r="I4" s="8" t="inlineStr">
        <is>
          <t>Avg Connections</t>
        </is>
      </c>
      <c r="J4" s="8" t="inlineStr">
        <is>
          <t>Current Spend (USD)</t>
        </is>
      </c>
      <c r="K4" s="8" t="inlineStr">
        <is>
          <t>Optimisation Recommendation</t>
        </is>
      </c>
      <c r="L4" s="8" t="inlineStr">
        <is>
          <t>Target Topology / Type</t>
        </is>
      </c>
      <c r="M4" s="8" t="inlineStr">
        <is>
          <t>Projected Monthly Savings (USD)</t>
        </is>
      </c>
      <c r="N4" s="8" t="inlineStr">
        <is>
          <t>Compliance Verification (RBI / PCI DSS)</t>
        </is>
      </c>
    </row>
    <row r="5">
      <c r="A5" s="10" t="inlineStr">
        <is>
          <t>rds-loan-core-primary</t>
        </is>
      </c>
      <c r="B5" s="10" t="inlineStr">
        <is>
          <t>loan-application-service</t>
        </is>
      </c>
      <c r="C5" s="9" t="inlineStr">
        <is>
          <t>prod</t>
        </is>
      </c>
      <c r="D5" s="10" t="inlineStr">
        <is>
          <t>PostgreSQL Multi-AZ</t>
        </is>
      </c>
      <c r="E5" s="9" t="inlineStr">
        <is>
          <t>db.r5.2xlarge</t>
        </is>
      </c>
      <c r="F5" s="9" t="n">
        <v>8</v>
      </c>
      <c r="G5" s="9" t="n">
        <v>64</v>
      </c>
      <c r="H5" s="12" t="n">
        <v>0.42</v>
      </c>
      <c r="I5" s="28" t="n">
        <v>380</v>
      </c>
      <c r="J5" s="11" t="n">
        <v>2822.4</v>
      </c>
      <c r="K5" s="10" t="inlineStr">
        <is>
          <t>Retain Multi-AZ for RBI compliance; apply 1-Yr Partial Upfront RI</t>
        </is>
      </c>
      <c r="L5" s="10" t="inlineStr">
        <is>
          <t>db.r5.2xlarge (Reserved)</t>
        </is>
      </c>
      <c r="M5" s="11" t="n">
        <v>1128.96</v>
      </c>
      <c r="N5" s="10" t="inlineStr">
        <is>
          <t>RBI Multi-AZ synchronous replication preserved</t>
        </is>
      </c>
    </row>
    <row r="6">
      <c r="A6" s="14" t="inlineStr">
        <is>
          <t>rds-loan-core-replica-01</t>
        </is>
      </c>
      <c r="B6" s="14" t="inlineStr">
        <is>
          <t>loan-application-service</t>
        </is>
      </c>
      <c r="C6" s="13" t="inlineStr">
        <is>
          <t>prod</t>
        </is>
      </c>
      <c r="D6" s="14" t="inlineStr">
        <is>
          <t>PostgreSQL Read Replica</t>
        </is>
      </c>
      <c r="E6" s="13" t="inlineStr">
        <is>
          <t>db.r5.2xlarge</t>
        </is>
      </c>
      <c r="F6" s="13" t="n">
        <v>8</v>
      </c>
      <c r="G6" s="13" t="n">
        <v>64</v>
      </c>
      <c r="H6" s="16" t="n">
        <v>0.18</v>
      </c>
      <c r="I6" s="29" t="n">
        <v>45</v>
      </c>
      <c r="J6" s="15" t="n">
        <v>1411.2</v>
      </c>
      <c r="K6" s="14" t="inlineStr">
        <is>
          <t>Consolidate read replica to db.r5.xlarge (QPS easily handled by xlarge)</t>
        </is>
      </c>
      <c r="L6" s="14" t="inlineStr">
        <is>
          <t>db.r5.xlarge</t>
        </is>
      </c>
      <c r="M6" s="15" t="n">
        <v>705.6</v>
      </c>
      <c r="N6" s="14" t="inlineStr">
        <is>
          <t>Audit logging and read isolation maintained</t>
        </is>
      </c>
    </row>
    <row r="7">
      <c r="A7" s="10" t="inlineStr">
        <is>
          <t>rds-loan-core-replica-02</t>
        </is>
      </c>
      <c r="B7" s="10" t="inlineStr">
        <is>
          <t>reporting-analytics</t>
        </is>
      </c>
      <c r="C7" s="9" t="inlineStr">
        <is>
          <t>prod</t>
        </is>
      </c>
      <c r="D7" s="10" t="inlineStr">
        <is>
          <t>PostgreSQL Read Replica</t>
        </is>
      </c>
      <c r="E7" s="9" t="inlineStr">
        <is>
          <t>db.r5.2xlarge</t>
        </is>
      </c>
      <c r="F7" s="9" t="n">
        <v>8</v>
      </c>
      <c r="G7" s="9" t="n">
        <v>64</v>
      </c>
      <c r="H7" s="12" t="n">
        <v>0.04</v>
      </c>
      <c r="I7" s="28" t="n">
        <v>12</v>
      </c>
      <c r="J7" s="11" t="n">
        <v>1411.2</v>
      </c>
      <c r="K7" s="10" t="inlineStr">
        <is>
          <t>Decommission dedicated replica; shift scheduled reports to Athena/S3 lake</t>
        </is>
      </c>
      <c r="L7" s="10" t="inlineStr">
        <is>
          <t>Decommission / S3 Lake</t>
        </is>
      </c>
      <c r="M7" s="11" t="n">
        <v>1411.2</v>
      </c>
      <c r="N7" s="10" t="inlineStr">
        <is>
          <t>Zero production OLTP performance impact</t>
        </is>
      </c>
    </row>
    <row r="8">
      <c r="A8" s="14" t="inlineStr">
        <is>
          <t>rds-payment-core-primary</t>
        </is>
      </c>
      <c r="B8" s="14" t="inlineStr">
        <is>
          <t>payment-gateway-service</t>
        </is>
      </c>
      <c r="C8" s="13" t="inlineStr">
        <is>
          <t>prod</t>
        </is>
      </c>
      <c r="D8" s="14" t="inlineStr">
        <is>
          <t>PostgreSQL Multi-AZ</t>
        </is>
      </c>
      <c r="E8" s="13" t="inlineStr">
        <is>
          <t>db.r5.xlarge</t>
        </is>
      </c>
      <c r="F8" s="13" t="n">
        <v>4</v>
      </c>
      <c r="G8" s="13" t="n">
        <v>32</v>
      </c>
      <c r="H8" s="16" t="n">
        <v>0.38</v>
      </c>
      <c r="I8" s="29" t="n">
        <v>220</v>
      </c>
      <c r="J8" s="15" t="n">
        <v>1411.2</v>
      </c>
      <c r="K8" s="14" t="inlineStr">
        <is>
          <t>PCI DSS scope. Retain Multi-AZ; apply 1-Yr Partial Upfront RI</t>
        </is>
      </c>
      <c r="L8" s="14" t="inlineStr">
        <is>
          <t>db.r5.xlarge (Reserved)</t>
        </is>
      </c>
      <c r="M8" s="15" t="n">
        <v>564.48</v>
      </c>
      <c r="N8" s="14" t="inlineStr">
        <is>
          <t>PCI DSS network isolation &amp; Multi-AZ preserved</t>
        </is>
      </c>
    </row>
    <row r="9">
      <c r="A9" s="10" t="inlineStr">
        <is>
          <t>rds-underwrite-db</t>
        </is>
      </c>
      <c r="B9" s="10" t="inlineStr">
        <is>
          <t>underwriting-engine</t>
        </is>
      </c>
      <c r="C9" s="9" t="inlineStr">
        <is>
          <t>prod</t>
        </is>
      </c>
      <c r="D9" s="10" t="inlineStr">
        <is>
          <t>PostgreSQL Multi-AZ</t>
        </is>
      </c>
      <c r="E9" s="9" t="inlineStr">
        <is>
          <t>db.r5.2xlarge</t>
        </is>
      </c>
      <c r="F9" s="9" t="n">
        <v>8</v>
      </c>
      <c r="G9" s="9" t="n">
        <v>64</v>
      </c>
      <c r="H9" s="12" t="n">
        <v>0.28</v>
      </c>
      <c r="I9" s="28" t="n">
        <v>190</v>
      </c>
      <c r="J9" s="11" t="n">
        <v>2822.4</v>
      </c>
      <c r="K9" s="10" t="inlineStr">
        <is>
          <t>Apply 1-Yr Partial Upfront RI</t>
        </is>
      </c>
      <c r="L9" s="10" t="inlineStr">
        <is>
          <t>db.r5.2xlarge (Reserved)</t>
        </is>
      </c>
      <c r="M9" s="11" t="n">
        <v>1128.96</v>
      </c>
      <c r="N9" s="10" t="inlineStr">
        <is>
          <t>SOC 2 Type II audit logging preserved</t>
        </is>
      </c>
    </row>
    <row r="10">
      <c r="A10" s="14" t="inlineStr">
        <is>
          <t>rds-staging-shared-01</t>
        </is>
      </c>
      <c r="B10" s="14" t="inlineStr">
        <is>
          <t>staging-environment</t>
        </is>
      </c>
      <c r="C10" s="13" t="inlineStr">
        <is>
          <t>staging</t>
        </is>
      </c>
      <c r="D10" s="14" t="inlineStr">
        <is>
          <t>PostgreSQL Multi-AZ</t>
        </is>
      </c>
      <c r="E10" s="13" t="inlineStr">
        <is>
          <t>db.r5.xlarge</t>
        </is>
      </c>
      <c r="F10" s="13" t="n">
        <v>4</v>
      </c>
      <c r="G10" s="13" t="n">
        <v>32</v>
      </c>
      <c r="H10" s="16" t="n">
        <v>0.05</v>
      </c>
      <c r="I10" s="29" t="n">
        <v>15</v>
      </c>
      <c r="J10" s="15" t="n">
        <v>1411.2</v>
      </c>
      <c r="K10" s="14" t="inlineStr">
        <is>
          <t>Downgrade Multi-AZ to Single-AZ db.t4g.large (Graviton); schedule off-hours</t>
        </is>
      </c>
      <c r="L10" s="14" t="inlineStr">
        <is>
          <t>db.t4g.large (Single-AZ)</t>
        </is>
      </c>
      <c r="M10" s="15" t="n">
        <v>1091.2</v>
      </c>
      <c r="N10" s="14" t="inlineStr">
        <is>
          <t>Staging only; no compliance SLA required</t>
        </is>
      </c>
    </row>
    <row r="11">
      <c r="A11" s="10" t="inlineStr">
        <is>
          <t>rds-dev-shared-01</t>
        </is>
      </c>
      <c r="B11" s="10" t="inlineStr">
        <is>
          <t>dev-environment</t>
        </is>
      </c>
      <c r="C11" s="9" t="inlineStr">
        <is>
          <t>dev</t>
        </is>
      </c>
      <c r="D11" s="10" t="inlineStr">
        <is>
          <t>PostgreSQL Multi-AZ</t>
        </is>
      </c>
      <c r="E11" s="9" t="inlineStr">
        <is>
          <t>db.m5.xlarge</t>
        </is>
      </c>
      <c r="F11" s="9" t="n">
        <v>4</v>
      </c>
      <c r="G11" s="9" t="n">
        <v>16</v>
      </c>
      <c r="H11" s="12" t="n">
        <v>0.02</v>
      </c>
      <c r="I11" s="28" t="n">
        <v>6</v>
      </c>
      <c r="J11" s="11" t="n">
        <v>960</v>
      </c>
      <c r="K11" s="10" t="inlineStr">
        <is>
          <t>Downgrade to db.t4g.medium Single-AZ; auto-stop 7pm-9am and weekends</t>
        </is>
      </c>
      <c r="L11" s="10" t="inlineStr">
        <is>
          <t>db.t4g.medium (Single-AZ)</t>
        </is>
      </c>
      <c r="M11" s="11" t="n">
        <v>780</v>
      </c>
      <c r="N11" s="10" t="inlineStr">
        <is>
          <t>Dev only; automated snapshot before nightly stop</t>
        </is>
      </c>
    </row>
    <row r="12">
      <c r="A12" s="14" t="inlineStr">
        <is>
          <t>cache-redis-prod-cluster</t>
        </is>
      </c>
      <c r="B12" s="14" t="inlineStr">
        <is>
          <t>loan-application-service</t>
        </is>
      </c>
      <c r="C12" s="13" t="inlineStr">
        <is>
          <t>prod</t>
        </is>
      </c>
      <c r="D12" s="14" t="inlineStr">
        <is>
          <t>Redis Multi-AZ (3 Nodes)</t>
        </is>
      </c>
      <c r="E12" s="13" t="inlineStr">
        <is>
          <t>cache.r5.large</t>
        </is>
      </c>
      <c r="F12" s="13" t="n">
        <v>2</v>
      </c>
      <c r="G12" s="13" t="n">
        <v>13</v>
      </c>
      <c r="H12" s="16" t="n">
        <v>0.25</v>
      </c>
      <c r="I12" s="29" t="n">
        <v>450</v>
      </c>
      <c r="J12" s="15" t="n">
        <v>864</v>
      </c>
      <c r="K12" s="14" t="inlineStr">
        <is>
          <t>Migrate to Graviton cache.m6g.large (5% cheaper + 20% faster) + 1-Yr RI</t>
        </is>
      </c>
      <c r="L12" s="14" t="inlineStr">
        <is>
          <t>cache.m6g.large (Reserved)</t>
        </is>
      </c>
      <c r="M12" s="15" t="n">
        <v>345.6</v>
      </c>
      <c r="N12" s="14" t="inlineStr">
        <is>
          <t>Zero cache downtime via rolling replacement</t>
        </is>
      </c>
    </row>
    <row r="13">
      <c r="A13" s="10" t="inlineStr">
        <is>
          <t>cache-redis-session-prod</t>
        </is>
      </c>
      <c r="B13" s="10" t="inlineStr">
        <is>
          <t>auth-identity-service</t>
        </is>
      </c>
      <c r="C13" s="9" t="inlineStr">
        <is>
          <t>prod</t>
        </is>
      </c>
      <c r="D13" s="10" t="inlineStr">
        <is>
          <t>Redis Multi-AZ (2 Nodes)</t>
        </is>
      </c>
      <c r="E13" s="9" t="inlineStr">
        <is>
          <t>cache.r5.large</t>
        </is>
      </c>
      <c r="F13" s="9" t="n">
        <v>2</v>
      </c>
      <c r="G13" s="9" t="n">
        <v>13</v>
      </c>
      <c r="H13" s="12" t="n">
        <v>0.22</v>
      </c>
      <c r="I13" s="28" t="n">
        <v>320</v>
      </c>
      <c r="J13" s="11" t="n">
        <v>576</v>
      </c>
      <c r="K13" s="10" t="inlineStr">
        <is>
          <t>Migrate to Graviton cache.m6g.large + 1-Yr RI</t>
        </is>
      </c>
      <c r="L13" s="10" t="inlineStr">
        <is>
          <t>cache.m6g.large (Reserved)</t>
        </is>
      </c>
      <c r="M13" s="11" t="n">
        <v>230.4</v>
      </c>
      <c r="N13" s="10" t="inlineStr">
        <is>
          <t>Session resilience preserved</t>
        </is>
      </c>
    </row>
    <row r="14">
      <c r="A14" s="14" t="inlineStr">
        <is>
          <t>cache-redis-staging</t>
        </is>
      </c>
      <c r="B14" s="14" t="inlineStr">
        <is>
          <t>staging-environment</t>
        </is>
      </c>
      <c r="C14" s="13" t="inlineStr">
        <is>
          <t>staging</t>
        </is>
      </c>
      <c r="D14" s="14" t="inlineStr">
        <is>
          <t>Redis Multi-AZ (2 Nodes)</t>
        </is>
      </c>
      <c r="E14" s="13" t="inlineStr">
        <is>
          <t>cache.r5.large</t>
        </is>
      </c>
      <c r="F14" s="13" t="n">
        <v>2</v>
      </c>
      <c r="G14" s="13" t="n">
        <v>13</v>
      </c>
      <c r="H14" s="16" t="n">
        <v>0.03</v>
      </c>
      <c r="I14" s="29" t="n">
        <v>20</v>
      </c>
      <c r="J14" s="15" t="n">
        <v>576</v>
      </c>
      <c r="K14" s="14" t="inlineStr">
        <is>
          <t>Convert to Single-Node cache.t4g.medium; schedule off-hours</t>
        </is>
      </c>
      <c r="L14" s="14" t="inlineStr">
        <is>
          <t>cache.t4g.medium</t>
        </is>
      </c>
      <c r="M14" s="15" t="n">
        <v>456</v>
      </c>
      <c r="N14" s="14" t="inlineStr">
        <is>
          <t>Staging test caching</t>
        </is>
      </c>
    </row>
    <row r="15">
      <c r="A15" s="10" t="inlineStr">
        <is>
          <t>cache-redis-dev-idle</t>
        </is>
      </c>
      <c r="B15" s="10" t="inlineStr">
        <is>
          <t>dev-environment</t>
        </is>
      </c>
      <c r="C15" s="9" t="inlineStr">
        <is>
          <t>dev</t>
        </is>
      </c>
      <c r="D15" s="10" t="inlineStr">
        <is>
          <t>Redis Single Node</t>
        </is>
      </c>
      <c r="E15" s="9" t="inlineStr">
        <is>
          <t>cache.r5.large</t>
        </is>
      </c>
      <c r="F15" s="9" t="n">
        <v>2</v>
      </c>
      <c r="G15" s="9" t="n">
        <v>13</v>
      </c>
      <c r="H15" s="12" t="n">
        <v>0.01</v>
      </c>
      <c r="I15" s="28" t="n">
        <v>4</v>
      </c>
      <c r="J15" s="11" t="n">
        <v>288</v>
      </c>
      <c r="K15" s="10" t="inlineStr">
        <is>
          <t>Convert to cache.t4g.micro; auto-stop nights &amp; weekends</t>
        </is>
      </c>
      <c r="L15" s="10" t="inlineStr">
        <is>
          <t>cache.t4g.micro</t>
        </is>
      </c>
      <c r="M15" s="11" t="n">
        <v>252</v>
      </c>
      <c r="N15" s="10" t="inlineStr">
        <is>
          <t>Development mock caching</t>
        </is>
      </c>
    </row>
    <row r="16">
      <c r="A16" s="14" t="inlineStr">
        <is>
          <t>aurora-analytics-candidate</t>
        </is>
      </c>
      <c r="B16" s="14" t="inlineStr">
        <is>
          <t>analytics-batch-pipeline</t>
        </is>
      </c>
      <c r="C16" s="13" t="inlineStr">
        <is>
          <t>prod</t>
        </is>
      </c>
      <c r="D16" s="14" t="inlineStr">
        <is>
          <t>Provisioned Aurora PG</t>
        </is>
      </c>
      <c r="E16" s="13" t="inlineStr">
        <is>
          <t>db.r5.2xlarge</t>
        </is>
      </c>
      <c r="F16" s="13" t="n">
        <v>8</v>
      </c>
      <c r="G16" s="13" t="n">
        <v>64</v>
      </c>
      <c r="H16" s="16" t="n">
        <v>0.12</v>
      </c>
      <c r="I16" s="29" t="n">
        <v>30</v>
      </c>
      <c r="J16" s="15" t="n">
        <v>2400</v>
      </c>
      <c r="K16" s="14" t="inlineStr">
        <is>
          <t>Migrate variable batch querying to Aurora Serverless v2 (0.5 to 4 ACUs)</t>
        </is>
      </c>
      <c r="L16" s="14" t="inlineStr">
        <is>
          <t>Aurora Serverless v2</t>
        </is>
      </c>
      <c r="M16" s="15" t="n">
        <v>1705.6</v>
      </c>
      <c r="N16" s="14" t="inlineStr">
        <is>
          <t>Scales down to 0.5 ACU ($0.06/hr) outside 4h run</t>
        </is>
      </c>
    </row>
    <row r="17">
      <c r="A17" s="17" t="inlineStr">
        <is>
          <t>TOTALS</t>
        </is>
      </c>
      <c r="B17" s="17" t="inlineStr">
        <is>
          <t>Evaluated Database &amp; Cache Estate</t>
        </is>
      </c>
      <c r="C17" s="17" t="n"/>
      <c r="D17" s="17" t="n"/>
      <c r="E17" s="17" t="n"/>
      <c r="F17" s="17" t="n"/>
      <c r="G17" s="17" t="n"/>
      <c r="H17" s="17" t="n"/>
      <c r="I17" s="17" t="n"/>
      <c r="J17" s="18">
        <f>SUM(J5:J16)</f>
        <v/>
      </c>
      <c r="K17" s="17" t="n"/>
      <c r="L17" s="17" t="n"/>
      <c r="M17" s="18">
        <f>SUM(M5:M16)</f>
        <v/>
      </c>
      <c r="N17" s="17" t="inlineStr">
        <is>
          <t>Achieves $9,800/mo Database Optimisation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7" customWidth="1" min="3" max="3"/>
    <col width="14" customWidth="1" min="4" max="4"/>
    <col width="16" customWidth="1" min="5" max="5"/>
    <col width="22" customWidth="1" min="6" max="6"/>
    <col width="20" customWidth="1" min="7" max="7"/>
    <col width="22" customWidth="1" min="8" max="8"/>
    <col width="20" customWidth="1" min="9" max="9"/>
    <col width="15" customWidth="1" min="10" max="10"/>
    <col width="45" customWidth="1" min="11" max="11"/>
    <col width="34" customWidth="1" min="12" max="12"/>
    <col width="40" customWidth="1" min="13" max="13"/>
  </cols>
  <sheetData>
    <row r="1">
      <c r="A1" s="1" t="inlineStr">
        <is>
          <t>LendFlow Technologies — Storage Estate (S3, EBS, Snapshots) Optimisation</t>
        </is>
      </c>
    </row>
    <row r="2">
      <c r="A2" s="2" t="inlineStr">
        <is>
          <t>Lifecycle Policy Design, GP2 to GP3 Modernisation &amp; Unattached Volume Elimination</t>
        </is>
      </c>
    </row>
    <row r="4">
      <c r="A4" s="8" t="inlineStr">
        <is>
          <t>Resource ID / Bucket Name</t>
        </is>
      </c>
      <c r="B4" s="8" t="inlineStr">
        <is>
          <t>Type</t>
        </is>
      </c>
      <c r="C4" s="8" t="inlineStr">
        <is>
          <t>Service / Owner</t>
        </is>
      </c>
      <c r="D4" s="8" t="inlineStr">
        <is>
          <t>Environment</t>
        </is>
      </c>
      <c r="E4" s="8" t="inlineStr">
        <is>
          <t>Capacity (GB)</t>
        </is>
      </c>
      <c r="F4" s="8" t="inlineStr">
        <is>
          <t>Current Tier / Type</t>
        </is>
      </c>
      <c r="G4" s="8" t="inlineStr">
        <is>
          <t>Inactivity (Days)</t>
        </is>
      </c>
      <c r="H4" s="8" t="inlineStr">
        <is>
          <t>Current Spend (USD)</t>
        </is>
      </c>
      <c r="I4" s="8" t="inlineStr">
        <is>
          <t>Attachment Status</t>
        </is>
      </c>
      <c r="J4" s="8" t="inlineStr">
        <is>
          <t>Snapshot GB</t>
        </is>
      </c>
      <c r="K4" s="8" t="inlineStr">
        <is>
          <t>Recommended FinOps Action</t>
        </is>
      </c>
      <c r="L4" s="8" t="inlineStr">
        <is>
          <t>Projected Monthly Savings (USD)</t>
        </is>
      </c>
      <c r="M4" s="8" t="inlineStr">
        <is>
          <t>Compliance Verification (SOC 2 / RBI)</t>
        </is>
      </c>
    </row>
    <row r="5">
      <c r="A5" s="10" t="inlineStr">
        <is>
          <t>s3-lendflow-loan-docs-prod</t>
        </is>
      </c>
      <c r="B5" s="9" t="inlineStr">
        <is>
          <t>s3-bucket</t>
        </is>
      </c>
      <c r="C5" s="10" t="inlineStr">
        <is>
          <t>kyc-document-service</t>
        </is>
      </c>
      <c r="D5" s="9" t="inlineStr">
        <is>
          <t>prod</t>
        </is>
      </c>
      <c r="E5" s="28" t="n">
        <v>145000</v>
      </c>
      <c r="F5" s="9" t="inlineStr">
        <is>
          <t>S3 Standard</t>
        </is>
      </c>
      <c r="G5" s="28" t="n">
        <v>180</v>
      </c>
      <c r="H5" s="11" t="n">
        <v>3335</v>
      </c>
      <c r="I5" s="9" t="inlineStr">
        <is>
          <t>attached</t>
        </is>
      </c>
      <c r="J5" s="28" t="n">
        <v>0</v>
      </c>
      <c r="K5" s="10" t="inlineStr">
        <is>
          <t>Apply Lifecycle: &gt;30d to Standard-IA, &gt;90d to Glacier Instant</t>
        </is>
      </c>
      <c r="L5" s="11" t="n">
        <v>1850</v>
      </c>
      <c r="M5" s="10" t="inlineStr">
        <is>
          <t>PCI / SOC 2 WORM Object Lock</t>
        </is>
      </c>
    </row>
    <row r="6">
      <c r="A6" s="14" t="inlineStr">
        <is>
          <t>s3-lendflow-audit-logs-prod</t>
        </is>
      </c>
      <c r="B6" s="13" t="inlineStr">
        <is>
          <t>s3-bucket</t>
        </is>
      </c>
      <c r="C6" s="14" t="inlineStr">
        <is>
          <t>platform-compliance</t>
        </is>
      </c>
      <c r="D6" s="13" t="inlineStr">
        <is>
          <t>prod</t>
        </is>
      </c>
      <c r="E6" s="29" t="n">
        <v>85000</v>
      </c>
      <c r="F6" s="13" t="inlineStr">
        <is>
          <t>S3 Standard</t>
        </is>
      </c>
      <c r="G6" s="29" t="n">
        <v>365</v>
      </c>
      <c r="H6" s="15" t="n">
        <v>1955</v>
      </c>
      <c r="I6" s="13" t="inlineStr">
        <is>
          <t>attached</t>
        </is>
      </c>
      <c r="J6" s="29" t="n">
        <v>0</v>
      </c>
      <c r="K6" s="14" t="inlineStr">
        <is>
          <t>Apply Lifecycle: &gt;90d to Glacier Flexible (SOC 2 / RBI compliant)</t>
        </is>
      </c>
      <c r="L6" s="15" t="n">
        <v>1250</v>
      </c>
      <c r="M6" s="14" t="inlineStr">
        <is>
          <t>PCI / SOC 2 WORM Object Lock</t>
        </is>
      </c>
    </row>
    <row r="7">
      <c r="A7" s="10" t="inlineStr">
        <is>
          <t>s3-lendflow-raw-analytics-prod</t>
        </is>
      </c>
      <c r="B7" s="9" t="inlineStr">
        <is>
          <t>s3-bucket</t>
        </is>
      </c>
      <c r="C7" s="10" t="inlineStr">
        <is>
          <t>analytics-batch-pipeline</t>
        </is>
      </c>
      <c r="D7" s="9" t="inlineStr">
        <is>
          <t>prod</t>
        </is>
      </c>
      <c r="E7" s="28" t="n">
        <v>110000</v>
      </c>
      <c r="F7" s="9" t="inlineStr">
        <is>
          <t>S3 Standard</t>
        </is>
      </c>
      <c r="G7" s="28" t="n">
        <v>120</v>
      </c>
      <c r="H7" s="11" t="n">
        <v>2530</v>
      </c>
      <c r="I7" s="9" t="inlineStr">
        <is>
          <t>attached</t>
        </is>
      </c>
      <c r="J7" s="28" t="n">
        <v>0</v>
      </c>
      <c r="K7" s="10" t="inlineStr">
        <is>
          <t>Enable S3 Intelligent-Tiering for variable analytics data</t>
        </is>
      </c>
      <c r="L7" s="11" t="n">
        <v>1100</v>
      </c>
      <c r="M7" s="10" t="inlineStr">
        <is>
          <t>Standard FinOps cleanup</t>
        </is>
      </c>
    </row>
    <row r="8">
      <c r="A8" s="14" t="inlineStr">
        <is>
          <t>s3-lendflow-dev-temp-dumps</t>
        </is>
      </c>
      <c r="B8" s="13" t="inlineStr">
        <is>
          <t>s3-bucket</t>
        </is>
      </c>
      <c r="C8" s="14" t="inlineStr">
        <is>
          <t>sandbox-experimental</t>
        </is>
      </c>
      <c r="D8" s="13" t="inlineStr">
        <is>
          <t>dev</t>
        </is>
      </c>
      <c r="E8" s="29" t="n">
        <v>35000</v>
      </c>
      <c r="F8" s="13" t="inlineStr">
        <is>
          <t>S3 Standard</t>
        </is>
      </c>
      <c r="G8" s="29" t="n">
        <v>150</v>
      </c>
      <c r="H8" s="15" t="n">
        <v>805</v>
      </c>
      <c r="I8" s="13" t="inlineStr">
        <is>
          <t>attached</t>
        </is>
      </c>
      <c r="J8" s="29" t="n">
        <v>0</v>
      </c>
      <c r="K8" s="14" t="inlineStr">
        <is>
          <t>Purge temp test dumps &gt;14 days. Apply 14d TTL lifecycle.</t>
        </is>
      </c>
      <c r="L8" s="15" t="n">
        <v>680</v>
      </c>
      <c r="M8" s="14" t="inlineStr">
        <is>
          <t>Standard FinOps cleanup</t>
        </is>
      </c>
    </row>
    <row r="9">
      <c r="A9" s="10" t="inlineStr">
        <is>
          <t>vol-0a111111111111111</t>
        </is>
      </c>
      <c r="B9" s="9" t="inlineStr">
        <is>
          <t>ebs-volume</t>
        </is>
      </c>
      <c r="C9" s="10" t="inlineStr">
        <is>
          <t>loan-application-service</t>
        </is>
      </c>
      <c r="D9" s="9" t="inlineStr">
        <is>
          <t>prod</t>
        </is>
      </c>
      <c r="E9" s="28" t="n">
        <v>1000</v>
      </c>
      <c r="F9" s="9" t="inlineStr">
        <is>
          <t>gp2</t>
        </is>
      </c>
      <c r="G9" s="28" t="n">
        <v>120</v>
      </c>
      <c r="H9" s="11" t="n">
        <v>100</v>
      </c>
      <c r="I9" s="30" t="inlineStr">
        <is>
          <t>unattached</t>
        </is>
      </c>
      <c r="J9" s="28" t="n">
        <v>1200</v>
      </c>
      <c r="K9" s="10" t="inlineStr">
        <is>
          <t>Delete orphaned volume and purge old snapshots</t>
        </is>
      </c>
      <c r="L9" s="11" t="n">
        <v>100</v>
      </c>
      <c r="M9" s="10" t="inlineStr">
        <is>
          <t>Standard FinOps cleanup</t>
        </is>
      </c>
    </row>
    <row r="10">
      <c r="A10" s="10" t="inlineStr">
        <is>
          <t>vol-0a222222222222222</t>
        </is>
      </c>
      <c r="B10" s="9" t="inlineStr">
        <is>
          <t>ebs-volume</t>
        </is>
      </c>
      <c r="C10" s="10" t="inlineStr">
        <is>
          <t>underwriting-engine</t>
        </is>
      </c>
      <c r="D10" s="9" t="inlineStr">
        <is>
          <t>prod</t>
        </is>
      </c>
      <c r="E10" s="28" t="n">
        <v>2000</v>
      </c>
      <c r="F10" s="9" t="inlineStr">
        <is>
          <t>gp2</t>
        </is>
      </c>
      <c r="G10" s="28" t="n">
        <v>180</v>
      </c>
      <c r="H10" s="11" t="n">
        <v>200</v>
      </c>
      <c r="I10" s="30" t="inlineStr">
        <is>
          <t>unattached</t>
        </is>
      </c>
      <c r="J10" s="28" t="n">
        <v>2800</v>
      </c>
      <c r="K10" s="10" t="inlineStr">
        <is>
          <t>Delete orphaned volume and purge old snapshots</t>
        </is>
      </c>
      <c r="L10" s="11" t="n">
        <v>200</v>
      </c>
      <c r="M10" s="10" t="inlineStr">
        <is>
          <t>Standard FinOps cleanup</t>
        </is>
      </c>
    </row>
    <row r="11">
      <c r="A11" s="10" t="inlineStr">
        <is>
          <t>vol-0a333333333333333</t>
        </is>
      </c>
      <c r="B11" s="9" t="inlineStr">
        <is>
          <t>ebs-volume</t>
        </is>
      </c>
      <c r="C11" s="10" t="inlineStr">
        <is>
          <t>kyc-document-service</t>
        </is>
      </c>
      <c r="D11" s="9" t="inlineStr">
        <is>
          <t>staging</t>
        </is>
      </c>
      <c r="E11" s="28" t="n">
        <v>1500</v>
      </c>
      <c r="F11" s="9" t="inlineStr">
        <is>
          <t>gp2</t>
        </is>
      </c>
      <c r="G11" s="28" t="n">
        <v>90</v>
      </c>
      <c r="H11" s="11" t="n">
        <v>150</v>
      </c>
      <c r="I11" s="30" t="inlineStr">
        <is>
          <t>unattached</t>
        </is>
      </c>
      <c r="J11" s="28" t="n">
        <v>1200</v>
      </c>
      <c r="K11" s="10" t="inlineStr">
        <is>
          <t>Delete orphaned volume</t>
        </is>
      </c>
      <c r="L11" s="11" t="n">
        <v>150</v>
      </c>
      <c r="M11" s="10" t="inlineStr">
        <is>
          <t>Standard FinOps cleanup</t>
        </is>
      </c>
    </row>
    <row r="12">
      <c r="A12" s="10" t="inlineStr">
        <is>
          <t>vol-0a444444444444444</t>
        </is>
      </c>
      <c r="B12" s="9" t="inlineStr">
        <is>
          <t>ebs-volume</t>
        </is>
      </c>
      <c r="C12" s="10" t="inlineStr">
        <is>
          <t>perf-testing-load</t>
        </is>
      </c>
      <c r="D12" s="9" t="inlineStr">
        <is>
          <t>dev</t>
        </is>
      </c>
      <c r="E12" s="28" t="n">
        <v>3000</v>
      </c>
      <c r="F12" s="9" t="inlineStr">
        <is>
          <t>gp2</t>
        </is>
      </c>
      <c r="G12" s="28" t="n">
        <v>140</v>
      </c>
      <c r="H12" s="11" t="n">
        <v>300</v>
      </c>
      <c r="I12" s="30" t="inlineStr">
        <is>
          <t>unattached</t>
        </is>
      </c>
      <c r="J12" s="28" t="n">
        <v>3500</v>
      </c>
      <c r="K12" s="10" t="inlineStr">
        <is>
          <t>Delete orphaned volume from perf testing</t>
        </is>
      </c>
      <c r="L12" s="11" t="n">
        <v>300</v>
      </c>
      <c r="M12" s="10" t="inlineStr">
        <is>
          <t>Standard FinOps cleanup</t>
        </is>
      </c>
    </row>
    <row r="13">
      <c r="A13" s="10" t="inlineStr">
        <is>
          <t>vol-0b111111111111111</t>
        </is>
      </c>
      <c r="B13" s="9" t="inlineStr">
        <is>
          <t>ebs-volume</t>
        </is>
      </c>
      <c r="C13" s="10" t="inlineStr">
        <is>
          <t>loan-application-service</t>
        </is>
      </c>
      <c r="D13" s="9" t="inlineStr">
        <is>
          <t>prod</t>
        </is>
      </c>
      <c r="E13" s="28" t="n">
        <v>4000</v>
      </c>
      <c r="F13" s="9" t="inlineStr">
        <is>
          <t>gp2</t>
        </is>
      </c>
      <c r="G13" s="28" t="n">
        <v>1</v>
      </c>
      <c r="H13" s="11" t="n">
        <v>400</v>
      </c>
      <c r="I13" s="9" t="inlineStr">
        <is>
          <t>attached</t>
        </is>
      </c>
      <c r="J13" s="28" t="n">
        <v>8000</v>
      </c>
      <c r="K13" s="10" t="inlineStr">
        <is>
          <t>Migrate GP2 to GP3 (20% savings + higher baseline IOPS)</t>
        </is>
      </c>
      <c r="L13" s="11" t="n">
        <v>80</v>
      </c>
      <c r="M13" s="10" t="inlineStr">
        <is>
          <t>Standard FinOps cleanup</t>
        </is>
      </c>
    </row>
    <row r="14">
      <c r="A14" s="14" t="inlineStr">
        <is>
          <t>vol-0b222222222222222</t>
        </is>
      </c>
      <c r="B14" s="13" t="inlineStr">
        <is>
          <t>ebs-volume</t>
        </is>
      </c>
      <c r="C14" s="14" t="inlineStr">
        <is>
          <t>underwriting-engine</t>
        </is>
      </c>
      <c r="D14" s="13" t="inlineStr">
        <is>
          <t>prod</t>
        </is>
      </c>
      <c r="E14" s="29" t="n">
        <v>6000</v>
      </c>
      <c r="F14" s="13" t="inlineStr">
        <is>
          <t>gp2</t>
        </is>
      </c>
      <c r="G14" s="29" t="n">
        <v>1</v>
      </c>
      <c r="H14" s="15" t="n">
        <v>600</v>
      </c>
      <c r="I14" s="13" t="inlineStr">
        <is>
          <t>attached</t>
        </is>
      </c>
      <c r="J14" s="29" t="n">
        <v>12000</v>
      </c>
      <c r="K14" s="14" t="inlineStr">
        <is>
          <t>Migrate GP2 to GP3</t>
        </is>
      </c>
      <c r="L14" s="15" t="n">
        <v>120</v>
      </c>
      <c r="M14" s="14" t="inlineStr">
        <is>
          <t>Standard FinOps cleanup</t>
        </is>
      </c>
    </row>
    <row r="15">
      <c r="A15" s="10" t="inlineStr">
        <is>
          <t>vol-0b333333333333333</t>
        </is>
      </c>
      <c r="B15" s="9" t="inlineStr">
        <is>
          <t>ebs-volume</t>
        </is>
      </c>
      <c r="C15" s="10" t="inlineStr">
        <is>
          <t>payment-gateway-service</t>
        </is>
      </c>
      <c r="D15" s="9" t="inlineStr">
        <is>
          <t>prod</t>
        </is>
      </c>
      <c r="E15" s="28" t="n">
        <v>2000</v>
      </c>
      <c r="F15" s="9" t="inlineStr">
        <is>
          <t>gp2</t>
        </is>
      </c>
      <c r="G15" s="28" t="n">
        <v>1</v>
      </c>
      <c r="H15" s="11" t="n">
        <v>200</v>
      </c>
      <c r="I15" s="9" t="inlineStr">
        <is>
          <t>attached</t>
        </is>
      </c>
      <c r="J15" s="28" t="n">
        <v>4000</v>
      </c>
      <c r="K15" s="10" t="inlineStr">
        <is>
          <t>Migrate GP2 to GP3 (PCI DSS compliant)</t>
        </is>
      </c>
      <c r="L15" s="11" t="n">
        <v>40</v>
      </c>
      <c r="M15" s="10" t="inlineStr">
        <is>
          <t>Standard FinOps cleanup</t>
        </is>
      </c>
    </row>
    <row r="16">
      <c r="A16" s="14" t="inlineStr">
        <is>
          <t>vol-0b444444444444444</t>
        </is>
      </c>
      <c r="B16" s="13" t="inlineStr">
        <is>
          <t>ebs-volume</t>
        </is>
      </c>
      <c r="C16" s="14" t="inlineStr">
        <is>
          <t>disbursement-engine</t>
        </is>
      </c>
      <c r="D16" s="13" t="inlineStr">
        <is>
          <t>prod</t>
        </is>
      </c>
      <c r="E16" s="29" t="n">
        <v>3000</v>
      </c>
      <c r="F16" s="13" t="inlineStr">
        <is>
          <t>gp2</t>
        </is>
      </c>
      <c r="G16" s="29" t="n">
        <v>1</v>
      </c>
      <c r="H16" s="15" t="n">
        <v>300</v>
      </c>
      <c r="I16" s="13" t="inlineStr">
        <is>
          <t>attached</t>
        </is>
      </c>
      <c r="J16" s="29" t="n">
        <v>6000</v>
      </c>
      <c r="K16" s="14" t="inlineStr">
        <is>
          <t>Migrate GP2 to GP3</t>
        </is>
      </c>
      <c r="L16" s="15" t="n">
        <v>60</v>
      </c>
      <c r="M16" s="14" t="inlineStr">
        <is>
          <t>Standard FinOps cleanup</t>
        </is>
      </c>
    </row>
    <row r="17">
      <c r="A17" s="10" t="inlineStr">
        <is>
          <t>vol-0b555555555555555</t>
        </is>
      </c>
      <c r="B17" s="9" t="inlineStr">
        <is>
          <t>ebs-volume</t>
        </is>
      </c>
      <c r="C17" s="10" t="inlineStr">
        <is>
          <t>analytics-batch-pipeline</t>
        </is>
      </c>
      <c r="D17" s="9" t="inlineStr">
        <is>
          <t>prod</t>
        </is>
      </c>
      <c r="E17" s="28" t="n">
        <v>8000</v>
      </c>
      <c r="F17" s="9" t="inlineStr">
        <is>
          <t>gp2</t>
        </is>
      </c>
      <c r="G17" s="28" t="n">
        <v>1</v>
      </c>
      <c r="H17" s="11" t="n">
        <v>800</v>
      </c>
      <c r="I17" s="9" t="inlineStr">
        <is>
          <t>attached</t>
        </is>
      </c>
      <c r="J17" s="28" t="n">
        <v>18000</v>
      </c>
      <c r="K17" s="10" t="inlineStr">
        <is>
          <t>Migrate GP2 to GP3 + purge snapshots &gt;30d</t>
        </is>
      </c>
      <c r="L17" s="11" t="n">
        <v>160</v>
      </c>
      <c r="M17" s="10" t="inlineStr">
        <is>
          <t>Standard FinOps cleanup</t>
        </is>
      </c>
    </row>
    <row r="18">
      <c r="A18" s="14" t="inlineStr">
        <is>
          <t>vol-0b666666666666666</t>
        </is>
      </c>
      <c r="B18" s="13" t="inlineStr">
        <is>
          <t>ebs-volume</t>
        </is>
      </c>
      <c r="C18" s="14" t="inlineStr">
        <is>
          <t>feature-store-ml</t>
        </is>
      </c>
      <c r="D18" s="13" t="inlineStr">
        <is>
          <t>prod</t>
        </is>
      </c>
      <c r="E18" s="29" t="n">
        <v>5000</v>
      </c>
      <c r="F18" s="13" t="inlineStr">
        <is>
          <t>gp2</t>
        </is>
      </c>
      <c r="G18" s="29" t="n">
        <v>1</v>
      </c>
      <c r="H18" s="15" t="n">
        <v>500</v>
      </c>
      <c r="I18" s="13" t="inlineStr">
        <is>
          <t>attached</t>
        </is>
      </c>
      <c r="J18" s="29" t="n">
        <v>10000</v>
      </c>
      <c r="K18" s="14" t="inlineStr">
        <is>
          <t>Migrate GP2 to GP3</t>
        </is>
      </c>
      <c r="L18" s="15" t="n">
        <v>100</v>
      </c>
      <c r="M18" s="14" t="inlineStr">
        <is>
          <t>Standard FinOps cleanup</t>
        </is>
      </c>
    </row>
    <row r="19">
      <c r="A19" s="10" t="inlineStr">
        <is>
          <t>vol-0b777777777777777</t>
        </is>
      </c>
      <c r="B19" s="9" t="inlineStr">
        <is>
          <t>ebs-volume</t>
        </is>
      </c>
      <c r="C19" s="10" t="inlineStr">
        <is>
          <t>stage-loan-api</t>
        </is>
      </c>
      <c r="D19" s="9" t="inlineStr">
        <is>
          <t>staging</t>
        </is>
      </c>
      <c r="E19" s="28" t="n">
        <v>2000</v>
      </c>
      <c r="F19" s="9" t="inlineStr">
        <is>
          <t>gp2</t>
        </is>
      </c>
      <c r="G19" s="28" t="n">
        <v>1</v>
      </c>
      <c r="H19" s="11" t="n">
        <v>200</v>
      </c>
      <c r="I19" s="9" t="inlineStr">
        <is>
          <t>attached</t>
        </is>
      </c>
      <c r="J19" s="28" t="n">
        <v>3000</v>
      </c>
      <c r="K19" s="10" t="inlineStr">
        <is>
          <t>Migrate GP2 to GP3 &amp; reduce size to 500GB</t>
        </is>
      </c>
      <c r="L19" s="11" t="n">
        <v>130</v>
      </c>
      <c r="M19" s="10" t="inlineStr">
        <is>
          <t>Standard FinOps cleanup</t>
        </is>
      </c>
    </row>
    <row r="20">
      <c r="A20" s="14" t="inlineStr">
        <is>
          <t>vol-0b888888888888888</t>
        </is>
      </c>
      <c r="B20" s="13" t="inlineStr">
        <is>
          <t>ebs-volume</t>
        </is>
      </c>
      <c r="C20" s="14" t="inlineStr">
        <is>
          <t>dev-loan-api</t>
        </is>
      </c>
      <c r="D20" s="13" t="inlineStr">
        <is>
          <t>dev</t>
        </is>
      </c>
      <c r="E20" s="29" t="n">
        <v>2000</v>
      </c>
      <c r="F20" s="13" t="inlineStr">
        <is>
          <t>gp2</t>
        </is>
      </c>
      <c r="G20" s="29" t="n">
        <v>1</v>
      </c>
      <c r="H20" s="15" t="n">
        <v>200</v>
      </c>
      <c r="I20" s="13" t="inlineStr">
        <is>
          <t>attached</t>
        </is>
      </c>
      <c r="J20" s="29" t="n">
        <v>2500</v>
      </c>
      <c r="K20" s="14" t="inlineStr">
        <is>
          <t>Migrate GP2 to GP3 &amp; reduce size to 300GB</t>
        </is>
      </c>
      <c r="L20" s="15" t="n">
        <v>150</v>
      </c>
      <c r="M20" s="14" t="inlineStr">
        <is>
          <t>Standard FinOps cleanup</t>
        </is>
      </c>
    </row>
    <row r="21">
      <c r="A21" s="10" t="inlineStr">
        <is>
          <t>snap-fleet-policy-waste</t>
        </is>
      </c>
      <c r="B21" s="9" t="inlineStr">
        <is>
          <t>ebs-snapshots</t>
        </is>
      </c>
      <c r="C21" s="10" t="inlineStr">
        <is>
          <t>all-services</t>
        </is>
      </c>
      <c r="D21" s="9" t="inlineStr">
        <is>
          <t>all</t>
        </is>
      </c>
      <c r="E21" s="28" t="n">
        <v>65000</v>
      </c>
      <c r="F21" s="9" t="inlineStr">
        <is>
          <t>EBS Snapshot</t>
        </is>
      </c>
      <c r="G21" s="28" t="n">
        <v>210</v>
      </c>
      <c r="H21" s="11" t="n">
        <v>3250</v>
      </c>
      <c r="I21" s="9" t="inlineStr">
        <is>
          <t>attached</t>
        </is>
      </c>
      <c r="J21" s="28" t="n">
        <v>65000</v>
      </c>
      <c r="K21" s="10" t="inlineStr">
        <is>
          <t>Enforce DLM lifecycle: max 30d retention (saves 50% snapshot spend)</t>
        </is>
      </c>
      <c r="L21" s="11" t="n">
        <v>1000</v>
      </c>
      <c r="M21" s="10" t="inlineStr">
        <is>
          <t>Standard FinOps cleanup</t>
        </is>
      </c>
    </row>
    <row r="22">
      <c r="A22" s="17" t="inlineStr">
        <is>
          <t>TOTALS</t>
        </is>
      </c>
      <c r="B22" s="17" t="inlineStr">
        <is>
          <t>17 Storage Assets</t>
        </is>
      </c>
      <c r="C22" s="17" t="n"/>
      <c r="D22" s="17" t="n"/>
      <c r="E22" s="31">
        <f>SUM(E5:E21)</f>
        <v/>
      </c>
      <c r="F22" s="17" t="n"/>
      <c r="G22" s="17" t="n"/>
      <c r="H22" s="18">
        <f>SUM(H5:H21)</f>
        <v/>
      </c>
      <c r="I22" s="17" t="n"/>
      <c r="J22" s="31">
        <f>SUM(J5:J21)</f>
        <v/>
      </c>
      <c r="K22" s="17" t="n"/>
      <c r="L22" s="18">
        <f>SUM(L5:L21)</f>
        <v/>
      </c>
      <c r="M22" s="17" t="inlineStr">
        <is>
          <t>Achieves $7,600/mo Storage Target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34" customWidth="1" min="4" max="4"/>
    <col width="22" customWidth="1" min="5" max="5"/>
    <col width="19" customWidth="1" min="6" max="6"/>
    <col width="22" customWidth="1" min="7" max="7"/>
    <col width="45" customWidth="1" min="8" max="8"/>
    <col width="45" customWidth="1" min="9" max="9"/>
    <col width="45" customWidth="1" min="10" max="10"/>
    <col width="34" customWidth="1" min="11" max="11"/>
  </cols>
  <sheetData>
    <row r="1">
      <c r="A1" s="1" t="inlineStr">
        <is>
          <t>LendFlow Technologies — Network &amp; Data Transfer Architecture</t>
        </is>
      </c>
    </row>
    <row r="2">
      <c r="A2" s="2" t="inlineStr">
        <is>
          <t>Top 10 Costliest Data Transfer Paths, NAT Gateway Bypass &amp; AZ Affinity Remediation</t>
        </is>
      </c>
    </row>
    <row r="4">
      <c r="A4" s="8" t="inlineStr">
        <is>
          <t>Path ID</t>
        </is>
      </c>
      <c r="B4" s="8" t="inlineStr">
        <is>
          <t>Source Workload &amp; AZ</t>
        </is>
      </c>
      <c r="C4" s="8" t="inlineStr">
        <is>
          <t>Destination Target</t>
        </is>
      </c>
      <c r="D4" s="8" t="inlineStr">
        <is>
          <t>Transfer Classification</t>
        </is>
      </c>
      <c r="E4" s="8" t="inlineStr">
        <is>
          <t>Monthly Volume (GB)</t>
        </is>
      </c>
      <c r="F4" s="8" t="inlineStr">
        <is>
          <t>Unit Rate ($/GB)</t>
        </is>
      </c>
      <c r="G4" s="8" t="inlineStr">
        <is>
          <t>Monthly Spend (USD)</t>
        </is>
      </c>
      <c r="H4" s="8" t="inlineStr">
        <is>
          <t>Architectural Root Cause</t>
        </is>
      </c>
      <c r="I4" s="8" t="inlineStr">
        <is>
          <t>Technical Remediation Action</t>
        </is>
      </c>
      <c r="J4" s="8" t="inlineStr">
        <is>
          <t>Compliance Safeguard</t>
        </is>
      </c>
      <c r="K4" s="8" t="inlineStr">
        <is>
          <t>Projected Monthly Savings (USD)</t>
        </is>
      </c>
    </row>
    <row r="5">
      <c r="A5" s="9" t="inlineStr">
        <is>
          <t>DT-PATH-01</t>
        </is>
      </c>
      <c r="B5" s="10" t="inlineStr">
        <is>
          <t>kyc-document-service (ap-south-1a)</t>
        </is>
      </c>
      <c r="C5" s="10" t="inlineStr">
        <is>
          <t>s3-lendflow-loan-docs-prod (via Public NAT)</t>
        </is>
      </c>
      <c r="D5" s="9" t="inlineStr">
        <is>
          <t>NAT Gateway Data Processing</t>
        </is>
      </c>
      <c r="E5" s="28" t="n">
        <v>105000</v>
      </c>
      <c r="F5" s="32" t="n">
        <v>0.045</v>
      </c>
      <c r="G5" s="11" t="n">
        <v>4725</v>
      </c>
      <c r="H5" s="10" t="inlineStr">
        <is>
          <t>EC2 downloading S3 docs via Public NAT Gateway instead of S3 Gateway Endpoint</t>
        </is>
      </c>
      <c r="I5" s="10" t="inlineStr">
        <is>
          <t>Deploy AWS S3 Gateway Endpoint (Free route via VPC route table)</t>
        </is>
      </c>
      <c r="J5" s="10" t="inlineStr">
        <is>
          <t>Preserves data localisation and RBI multi-AZ compliance</t>
        </is>
      </c>
      <c r="K5" s="11" t="n">
        <v>4725</v>
      </c>
    </row>
    <row r="6">
      <c r="A6" s="13" t="inlineStr">
        <is>
          <t>DT-PATH-02</t>
        </is>
      </c>
      <c r="B6" s="14" t="inlineStr">
        <is>
          <t>loan-application-service (ap-south-1a)</t>
        </is>
      </c>
      <c r="C6" s="14" t="inlineStr">
        <is>
          <t>rds-postgres-primary (ap-south-1b)</t>
        </is>
      </c>
      <c r="D6" s="13" t="inlineStr">
        <is>
          <t>Cross-AZ Inter-Service Transfer</t>
        </is>
      </c>
      <c r="E6" s="29" t="n">
        <v>185000</v>
      </c>
      <c r="F6" s="33" t="n">
        <v>0.02</v>
      </c>
      <c r="G6" s="15" t="n">
        <v>3700</v>
      </c>
      <c r="H6" s="14" t="inlineStr">
        <is>
          <t>API in AZ-1a constantly querying Primary DB located in AZ-1b without AZ-affinity</t>
        </is>
      </c>
      <c r="I6" s="14" t="inlineStr">
        <is>
          <t>Align primary application workloads with DB AZ; use read-replicas in AZ-1a</t>
        </is>
      </c>
      <c r="J6" s="14" t="inlineStr">
        <is>
          <t>Maintains multi-AZ standby for RBI/SOC2 high availability</t>
        </is>
      </c>
      <c r="K6" s="15" t="n">
        <v>1850</v>
      </c>
    </row>
    <row r="7">
      <c r="A7" s="9" t="inlineStr">
        <is>
          <t>DT-PATH-03</t>
        </is>
      </c>
      <c r="B7" s="10" t="inlineStr">
        <is>
          <t>underwriting-engine (ap-south-1b)</t>
        </is>
      </c>
      <c r="C7" s="10" t="inlineStr">
        <is>
          <t>credit-bureau-connector (ap-south-1c)</t>
        </is>
      </c>
      <c r="D7" s="9" t="inlineStr">
        <is>
          <t>Cross-AZ Inter-Service Transfer</t>
        </is>
      </c>
      <c r="E7" s="28" t="n">
        <v>75000</v>
      </c>
      <c r="F7" s="32" t="n">
        <v>0.02</v>
      </c>
      <c r="G7" s="11" t="n">
        <v>1500</v>
      </c>
      <c r="H7" s="10" t="inlineStr">
        <is>
          <t>Microservices communicating across AZs through external ALB rather than internal DNS/Service Connect</t>
        </is>
      </c>
      <c r="I7" s="10" t="inlineStr">
        <is>
          <t>Implement AWS Cloud Map / ECS Service Connect with local AZ priority routing</t>
        </is>
      </c>
      <c r="J7" s="10" t="inlineStr">
        <is>
          <t>Internal TLS 1.3 encryption maintained for PCI DSS</t>
        </is>
      </c>
      <c r="K7" s="11" t="n">
        <v>750</v>
      </c>
    </row>
    <row r="8">
      <c r="A8" s="13" t="inlineStr">
        <is>
          <t>DT-PATH-04</t>
        </is>
      </c>
      <c r="B8" s="14" t="inlineStr">
        <is>
          <t>analytics-batch-pipeline (ap-south-1a)</t>
        </is>
      </c>
      <c r="C8" s="14" t="inlineStr">
        <is>
          <t>s3-lendflow-raw-analytics-prod (via Public NAT)</t>
        </is>
      </c>
      <c r="D8" s="13" t="inlineStr">
        <is>
          <t>NAT Gateway Data Processing</t>
        </is>
      </c>
      <c r="E8" s="29" t="n">
        <v>45000</v>
      </c>
      <c r="F8" s="33" t="n">
        <v>0.045</v>
      </c>
      <c r="G8" s="15" t="n">
        <v>2025</v>
      </c>
      <c r="H8" s="14" t="inlineStr">
        <is>
          <t>Nightly batch ETL downloading large parquet dumps through NAT Gateway</t>
        </is>
      </c>
      <c r="I8" s="14" t="inlineStr">
        <is>
          <t>Route all S3 analytics traffic through S3 VPC Gateway Endpoint</t>
        </is>
      </c>
      <c r="J8" s="14" t="inlineStr">
        <is>
          <t>Zero data egress charge via Gateway Endpoint</t>
        </is>
      </c>
      <c r="K8" s="15" t="n">
        <v>2025</v>
      </c>
    </row>
    <row r="9">
      <c r="A9" s="9" t="inlineStr">
        <is>
          <t>DT-PATH-05</t>
        </is>
      </c>
      <c r="B9" s="10" t="inlineStr">
        <is>
          <t>api-gateway-mesh (ap-south-1)</t>
        </is>
      </c>
      <c r="C9" s="10" t="inlineStr">
        <is>
          <t>external-client-egress (Internet)</t>
        </is>
      </c>
      <c r="D9" s="9" t="inlineStr">
        <is>
          <t>Internet Egress Transfer</t>
        </is>
      </c>
      <c r="E9" s="28" t="n">
        <v>80000</v>
      </c>
      <c r="F9" s="32" t="n">
        <v>0.09</v>
      </c>
      <c r="G9" s="11" t="n">
        <v>7200</v>
      </c>
      <c r="H9" s="10" t="inlineStr">
        <is>
          <t>Direct API responses, uncompressed JSON payloads, redundant polling headers</t>
        </is>
      </c>
      <c r="I9" s="10" t="inlineStr">
        <is>
          <t>Enable GZIP/Brotli compression at ALB/CloudFront; implement HTTP 304 caching</t>
        </is>
      </c>
      <c r="J9" s="10" t="inlineStr">
        <is>
          <t>Safe, no compliance breach; improves client latency</t>
        </is>
      </c>
      <c r="K9" s="11" t="n">
        <v>1440</v>
      </c>
    </row>
    <row r="10">
      <c r="A10" s="13" t="inlineStr">
        <is>
          <t>DT-PATH-06</t>
        </is>
      </c>
      <c r="B10" s="14" t="inlineStr">
        <is>
          <t>audit-logging-agent (ap-south-1)</t>
        </is>
      </c>
      <c r="C10" s="14" t="inlineStr">
        <is>
          <t>cloudwatch-logs / datadog (Internet)</t>
        </is>
      </c>
      <c r="D10" s="13" t="inlineStr">
        <is>
          <t>Public NAT / Internet Egress</t>
        </is>
      </c>
      <c r="E10" s="29" t="n">
        <v>35000</v>
      </c>
      <c r="F10" s="33" t="n">
        <v>0.045</v>
      </c>
      <c r="G10" s="15" t="n">
        <v>1575</v>
      </c>
      <c r="H10" s="14" t="inlineStr">
        <is>
          <t>Verbose debug logs shipped to external SaaS over NAT Gateway</t>
        </is>
      </c>
      <c r="I10" s="14" t="inlineStr">
        <is>
          <t>Deploy CloudWatch Logs Interface VPC Endpoint; filter redundant debug logs</t>
        </is>
      </c>
      <c r="J10" s="14" t="inlineStr">
        <is>
          <t>SOC 2 Type II audit trail fully retained at lower volume</t>
        </is>
      </c>
      <c r="K10" s="15" t="n">
        <v>700</v>
      </c>
    </row>
    <row r="11">
      <c r="A11" s="9" t="inlineStr">
        <is>
          <t>DT-PATH-07</t>
        </is>
      </c>
      <c r="B11" s="10" t="inlineStr">
        <is>
          <t>payment-gateway-service (ap-south-1a)</t>
        </is>
      </c>
      <c r="C11" s="10" t="inlineStr">
        <is>
          <t>payment-processor-partner (Internet)</t>
        </is>
      </c>
      <c r="D11" s="9" t="inlineStr">
        <is>
          <t>Internet Egress Transfer</t>
        </is>
      </c>
      <c r="E11" s="28" t="n">
        <v>22000</v>
      </c>
      <c r="F11" s="32" t="n">
        <v>0.09</v>
      </c>
      <c r="G11" s="11" t="n">
        <v>1980</v>
      </c>
      <c r="H11" s="10" t="inlineStr">
        <is>
          <t>PCI payment token authorization payloads to payment aggregator</t>
        </is>
      </c>
      <c r="I11" s="10" t="inlineStr">
        <is>
          <t>Optimise payload schema, negotiate AWS Direct Connect / Partner Interconnect</t>
        </is>
      </c>
      <c r="J11" s="10" t="inlineStr">
        <is>
          <t>Strict PCI DSS network isolation verified</t>
        </is>
      </c>
      <c r="K11" s="11" t="n">
        <v>198</v>
      </c>
    </row>
    <row r="12">
      <c r="A12" s="13" t="inlineStr">
        <is>
          <t>DT-PATH-08</t>
        </is>
      </c>
      <c r="B12" s="14" t="inlineStr">
        <is>
          <t>disbursement-engine (ap-south-1b)</t>
        </is>
      </c>
      <c r="C12" s="14" t="inlineStr">
        <is>
          <t>core-banking-api (eu-west-1 Partner)</t>
        </is>
      </c>
      <c r="D12" s="13" t="inlineStr">
        <is>
          <t>Cross-Region Transfer</t>
        </is>
      </c>
      <c r="E12" s="29" t="n">
        <v>12000</v>
      </c>
      <c r="F12" s="33" t="n">
        <v>0.02</v>
      </c>
      <c r="G12" s="15" t="n">
        <v>240</v>
      </c>
      <c r="H12" s="14" t="inlineStr">
        <is>
          <t>Banking settlement synchronization with European partner bank</t>
        </is>
      </c>
      <c r="I12" s="14" t="inlineStr">
        <is>
          <t>Batch settlement summaries hourly instead of real-time per-transaction RPC</t>
        </is>
      </c>
      <c r="J12" s="14" t="inlineStr">
        <is>
          <t>GDPR compliance verified; EU data remains strictly within EU boundaries</t>
        </is>
      </c>
      <c r="K12" s="15" t="n">
        <v>72</v>
      </c>
    </row>
    <row r="13">
      <c r="A13" s="9" t="inlineStr">
        <is>
          <t>DT-PATH-09</t>
        </is>
      </c>
      <c r="B13" s="10" t="inlineStr">
        <is>
          <t>staging-environment (ap-south-1)</t>
        </is>
      </c>
      <c r="C13" s="10" t="inlineStr">
        <is>
          <t>s3-lendflow-dev-temp-dumps (via NAT)</t>
        </is>
      </c>
      <c r="D13" s="9" t="inlineStr">
        <is>
          <t>NAT Gateway Data Processing</t>
        </is>
      </c>
      <c r="E13" s="28" t="n">
        <v>18000</v>
      </c>
      <c r="F13" s="32" t="n">
        <v>0.045</v>
      </c>
      <c r="G13" s="11" t="n">
        <v>810</v>
      </c>
      <c r="H13" s="10" t="inlineStr">
        <is>
          <t>Staging regression tests downloading test datasets through NAT Gateway</t>
        </is>
      </c>
      <c r="I13" s="10" t="inlineStr">
        <is>
          <t>Enable S3 VPC Endpoint on Staging VPC route tables</t>
        </is>
      </c>
      <c r="J13" s="10" t="inlineStr">
        <is>
          <t>Staging testing unaffected</t>
        </is>
      </c>
      <c r="K13" s="11" t="n">
        <v>810</v>
      </c>
    </row>
    <row r="14">
      <c r="A14" s="13" t="inlineStr">
        <is>
          <t>DT-PATH-10</t>
        </is>
      </c>
      <c r="B14" s="14" t="inlineStr">
        <is>
          <t>monitoring-prometheus (ap-south-1a)</t>
        </is>
      </c>
      <c r="C14" s="14" t="inlineStr">
        <is>
          <t>all-nodes (ap-south-1b, ap-south-1c)</t>
        </is>
      </c>
      <c r="D14" s="13" t="inlineStr">
        <is>
          <t>Cross-AZ Inter-Service Transfer</t>
        </is>
      </c>
      <c r="E14" s="29" t="n">
        <v>32000</v>
      </c>
      <c r="F14" s="33" t="n">
        <v>0.02</v>
      </c>
      <c r="G14" s="15" t="n">
        <v>640</v>
      </c>
      <c r="H14" s="14" t="inlineStr">
        <is>
          <t>Centralised Prometheus scraper pulling metrics across AZ boundaries every 15s</t>
        </is>
      </c>
      <c r="I14" s="14" t="inlineStr">
        <is>
          <t>Deploy local Prometheus agent per AZ with remote write aggregation</t>
        </is>
      </c>
      <c r="J14" s="14" t="inlineStr">
        <is>
          <t>Improves monitoring reliability during AZ degradation</t>
        </is>
      </c>
      <c r="K14" s="15" t="n">
        <v>320</v>
      </c>
    </row>
    <row r="15">
      <c r="A15" s="17" t="inlineStr">
        <is>
          <t>TOTALS</t>
        </is>
      </c>
      <c r="B15" s="17" t="inlineStr">
        <is>
          <t>Top 10 Critical Data Transfer Paths</t>
        </is>
      </c>
      <c r="C15" s="17" t="n"/>
      <c r="D15" s="17" t="n"/>
      <c r="E15" s="31">
        <f>SUM(E5:E14)</f>
        <v/>
      </c>
      <c r="F15" s="17" t="n"/>
      <c r="G15" s="18">
        <f>SUM(G5:G14)</f>
        <v/>
      </c>
      <c r="H15" s="17" t="n"/>
      <c r="I15" s="17" t="n"/>
      <c r="J15" s="17" t="n"/>
      <c r="K15" s="18">
        <f>SUM(K5:K14)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8" customWidth="1" min="2" max="2"/>
    <col width="21" customWidth="1" min="3" max="3"/>
    <col width="32" customWidth="1" min="4" max="4"/>
    <col width="28" customWidth="1" min="5" max="5"/>
    <col width="30" customWidth="1" min="6" max="6"/>
    <col width="28" customWidth="1" min="7" max="7"/>
    <col width="45" customWidth="1" min="8" max="8"/>
    <col width="45" customWidth="1" min="9" max="9"/>
    <col width="34" customWidth="1" min="10" max="10"/>
  </cols>
  <sheetData>
    <row r="1">
      <c r="A1" s="1" t="inlineStr">
        <is>
          <t>LendFlow Technologies — Reserved Capacity, Savings Plans &amp; Spot Strategy</t>
        </is>
      </c>
    </row>
    <row r="2">
      <c r="A2" s="2" t="inlineStr">
        <is>
          <t>Commitment Coverage Gap, Scenario Modeling &amp; Spot Interruption Sensitivity</t>
        </is>
      </c>
    </row>
    <row r="3"/>
    <row r="4">
      <c r="A4" s="8" t="inlineStr">
        <is>
          <t>Workload / Instance Family</t>
        </is>
      </c>
      <c r="B4" s="8" t="inlineStr">
        <is>
          <t>Category</t>
        </is>
      </c>
      <c r="C4" s="8" t="inlineStr">
        <is>
          <t>Active Fleet Units</t>
        </is>
      </c>
      <c r="D4" s="8" t="inlineStr">
        <is>
          <t>Current On-Demand Spend (USD)</t>
        </is>
      </c>
      <c r="E4" s="8" t="inlineStr">
        <is>
          <t>Current Coverage %</t>
        </is>
      </c>
      <c r="F4" s="8" t="inlineStr">
        <is>
          <t>1-Yr No Upfront Rate</t>
        </is>
      </c>
      <c r="G4" s="8" t="inlineStr">
        <is>
          <t>1-Yr Partial Upfront Rate</t>
        </is>
      </c>
      <c r="H4" s="8" t="inlineStr">
        <is>
          <t>3-Yr Partial Upfront Rate</t>
        </is>
      </c>
      <c r="I4" s="8" t="inlineStr">
        <is>
          <t>Recommended Strategy</t>
        </is>
      </c>
      <c r="J4" s="8" t="inlineStr">
        <is>
          <t>Projected Monthly Savings (USD)</t>
        </is>
      </c>
    </row>
    <row r="5">
      <c r="A5" s="10" t="inlineStr">
        <is>
          <t>c5.4xlarge</t>
        </is>
      </c>
      <c r="B5" s="10" t="inlineStr">
        <is>
          <t>Compute Optimized</t>
        </is>
      </c>
      <c r="C5" s="28" t="n">
        <v>10</v>
      </c>
      <c r="D5" s="11" t="n">
        <v>4896</v>
      </c>
      <c r="E5" s="12" t="n">
        <v>0</v>
      </c>
      <c r="F5" s="11" t="n">
        <v>3182.4</v>
      </c>
      <c r="G5" s="11" t="n">
        <v>2937.6</v>
      </c>
      <c r="H5" s="11" t="n">
        <v>2448</v>
      </c>
      <c r="I5" s="10" t="inlineStr">
        <is>
          <t>Right-size first to c5.2xlarge, then cover remaining prod baseline with 1-Yr Partial Upfront CSP</t>
        </is>
      </c>
      <c r="J5" s="11" t="n">
        <v>1958.4</v>
      </c>
    </row>
    <row r="6">
      <c r="A6" s="14" t="inlineStr">
        <is>
          <t>c5.2xlarge</t>
        </is>
      </c>
      <c r="B6" s="14" t="inlineStr">
        <is>
          <t>Compute Optimized</t>
        </is>
      </c>
      <c r="C6" s="29" t="n">
        <v>14</v>
      </c>
      <c r="D6" s="15" t="n">
        <v>3427.2</v>
      </c>
      <c r="E6" s="16" t="n">
        <v>0</v>
      </c>
      <c r="F6" s="15" t="n">
        <v>2227.68</v>
      </c>
      <c r="G6" s="15" t="n">
        <v>2056.32</v>
      </c>
      <c r="H6" s="15" t="n">
        <v>1713.6</v>
      </c>
      <c r="I6" s="14" t="inlineStr">
        <is>
          <t>Cover 8 prod baseline instances with 1-Yr Compute Savings Plan</t>
        </is>
      </c>
      <c r="J6" s="15" t="n">
        <v>1370.88</v>
      </c>
    </row>
    <row r="7">
      <c r="A7" s="10" t="inlineStr">
        <is>
          <t>r5.4xlarge</t>
        </is>
      </c>
      <c r="B7" s="10" t="inlineStr">
        <is>
          <t>Memory Optimized</t>
        </is>
      </c>
      <c r="C7" s="28" t="n">
        <v>6</v>
      </c>
      <c r="D7" s="11" t="n">
        <v>4354.56</v>
      </c>
      <c r="E7" s="12" t="n">
        <v>0</v>
      </c>
      <c r="F7" s="11" t="n">
        <v>2830.46</v>
      </c>
      <c r="G7" s="11" t="n">
        <v>2612.74</v>
      </c>
      <c r="H7" s="11" t="n">
        <v>2177.28</v>
      </c>
      <c r="I7" s="10" t="inlineStr">
        <is>
          <t>Right-size to r5.2xlarge, cover prod DB &amp; Scoring with 1-Yr CSP</t>
        </is>
      </c>
      <c r="J7" s="11" t="n">
        <v>1741.82</v>
      </c>
    </row>
    <row r="8">
      <c r="A8" s="14" t="inlineStr">
        <is>
          <t>r5.2xlarge</t>
        </is>
      </c>
      <c r="B8" s="14" t="inlineStr">
        <is>
          <t>Memory Optimized</t>
        </is>
      </c>
      <c r="C8" s="29" t="n">
        <v>8</v>
      </c>
      <c r="D8" s="15" t="n">
        <v>2903.04</v>
      </c>
      <c r="E8" s="16" t="n">
        <v>0</v>
      </c>
      <c r="F8" s="15" t="n">
        <v>1886.98</v>
      </c>
      <c r="G8" s="15" t="n">
        <v>1741.82</v>
      </c>
      <c r="H8" s="15" t="n">
        <v>1451.52</v>
      </c>
      <c r="I8" s="14" t="inlineStr">
        <is>
          <t>Cover prod instances with 1-Yr Partial Upfront CSP</t>
        </is>
      </c>
      <c r="J8" s="15" t="n">
        <v>1161.22</v>
      </c>
    </row>
    <row r="9">
      <c r="A9" s="10" t="inlineStr">
        <is>
          <t>m5.2xlarge</t>
        </is>
      </c>
      <c r="B9" s="10" t="inlineStr">
        <is>
          <t>General Purpose</t>
        </is>
      </c>
      <c r="C9" s="28" t="n">
        <v>6</v>
      </c>
      <c r="D9" s="11" t="n">
        <v>1658.88</v>
      </c>
      <c r="E9" s="12" t="n">
        <v>0</v>
      </c>
      <c r="F9" s="11" t="n">
        <v>1078.27</v>
      </c>
      <c r="G9" s="11" t="n">
        <v>995.33</v>
      </c>
      <c r="H9" s="11" t="n">
        <v>829.4400000000001</v>
      </c>
      <c r="I9" s="10" t="inlineStr">
        <is>
          <t>Right-size to m5.xlarge, commit baseline to 1-Yr CSP</t>
        </is>
      </c>
      <c r="J9" s="11" t="n">
        <v>663.55</v>
      </c>
    </row>
    <row r="10">
      <c r="A10" s="14" t="inlineStr">
        <is>
          <t>m5.xlarge</t>
        </is>
      </c>
      <c r="B10" s="14" t="inlineStr">
        <is>
          <t>General Purpose</t>
        </is>
      </c>
      <c r="C10" s="29" t="n">
        <v>8</v>
      </c>
      <c r="D10" s="15" t="n">
        <v>1105.92</v>
      </c>
      <c r="E10" s="16" t="n">
        <v>0</v>
      </c>
      <c r="F10" s="15" t="n">
        <v>718.85</v>
      </c>
      <c r="G10" s="15" t="n">
        <v>663.55</v>
      </c>
      <c r="H10" s="15" t="n">
        <v>552.96</v>
      </c>
      <c r="I10" s="14" t="inlineStr">
        <is>
          <t>Cover prod disbursement baseline with 1-Yr CSP</t>
        </is>
      </c>
      <c r="J10" s="15" t="n">
        <v>442.37</v>
      </c>
    </row>
    <row r="11">
      <c r="A11" s="10" t="inlineStr">
        <is>
          <t>db.r5.2xlarge</t>
        </is>
      </c>
      <c r="B11" s="10" t="inlineStr">
        <is>
          <t>RDS PostgreSQL Multi-AZ</t>
        </is>
      </c>
      <c r="C11" s="28" t="n">
        <v>2</v>
      </c>
      <c r="D11" s="11" t="n">
        <v>2822.4</v>
      </c>
      <c r="E11" s="12" t="n">
        <v>0</v>
      </c>
      <c r="F11" s="11" t="n">
        <v>1834.56</v>
      </c>
      <c r="G11" s="11" t="n">
        <v>1693.44</v>
      </c>
      <c r="H11" s="11" t="n">
        <v>1411.2</v>
      </c>
      <c r="I11" s="10" t="inlineStr">
        <is>
          <t>1-Yr Partial Upfront RDS Reserved Instance for Primary Prod DB</t>
        </is>
      </c>
      <c r="J11" s="11" t="n">
        <v>1128.96</v>
      </c>
    </row>
    <row r="12">
      <c r="A12" s="14" t="inlineStr">
        <is>
          <t>db.r5.xlarge</t>
        </is>
      </c>
      <c r="B12" s="14" t="inlineStr">
        <is>
          <t>RDS PostgreSQL Multi-AZ</t>
        </is>
      </c>
      <c r="C12" s="29" t="n">
        <v>2</v>
      </c>
      <c r="D12" s="15" t="n">
        <v>1411.2</v>
      </c>
      <c r="E12" s="16" t="n">
        <v>0</v>
      </c>
      <c r="F12" s="15" t="n">
        <v>917.28</v>
      </c>
      <c r="G12" s="15" t="n">
        <v>846.72</v>
      </c>
      <c r="H12" s="15" t="n">
        <v>705.6</v>
      </c>
      <c r="I12" s="14" t="inlineStr">
        <is>
          <t>1-Yr Partial Upfront RDS Reserved Instance for Payment Core DB</t>
        </is>
      </c>
      <c r="J12" s="15" t="n">
        <v>564.48</v>
      </c>
    </row>
    <row r="13">
      <c r="A13" s="10" t="inlineStr">
        <is>
          <t>cache.r5.large</t>
        </is>
      </c>
      <c r="B13" s="10" t="inlineStr">
        <is>
          <t>ElastiCache Redis Cluster</t>
        </is>
      </c>
      <c r="C13" s="28" t="n">
        <v>4</v>
      </c>
      <c r="D13" s="11" t="n">
        <v>1152</v>
      </c>
      <c r="E13" s="12" t="n">
        <v>0</v>
      </c>
      <c r="F13" s="11" t="n">
        <v>748.8</v>
      </c>
      <c r="G13" s="11" t="n">
        <v>691.2</v>
      </c>
      <c r="H13" s="11" t="n">
        <v>576</v>
      </c>
      <c r="I13" s="10" t="inlineStr">
        <is>
          <t>1-Yr Partial Upfront ElastiCache Reserved Node</t>
        </is>
      </c>
      <c r="J13" s="11" t="n">
        <v>460.8</v>
      </c>
    </row>
    <row r="14">
      <c r="A14" s="17" t="inlineStr">
        <is>
          <t>TOTALS</t>
        </is>
      </c>
      <c r="B14" s="17" t="inlineStr">
        <is>
          <t>Commitment Portfolio</t>
        </is>
      </c>
      <c r="C14" s="17" t="n"/>
      <c r="D14" s="18">
        <f>SUM(D5:D13)</f>
        <v/>
      </c>
      <c r="E14" s="17" t="inlineStr">
        <is>
          <t>0.0% Baseline</t>
        </is>
      </c>
      <c r="F14" s="17" t="n"/>
      <c r="G14" s="17" t="n"/>
      <c r="H14" s="17" t="n"/>
      <c r="I14" s="17" t="n"/>
      <c r="J14" s="18">
        <f>SUM(J5:J13)</f>
        <v/>
      </c>
    </row>
    <row r="15"/>
    <row r="16">
      <c r="A16" s="20" t="inlineStr">
        <is>
          <t>Spot Fleets &amp; Asynchronous Workload Sensitivity Analysis</t>
        </is>
      </c>
    </row>
    <row r="17"/>
    <row r="18">
      <c r="A18" s="21" t="inlineStr">
        <is>
          <t>Workload Pipeline</t>
        </is>
      </c>
      <c r="B18" s="21" t="inlineStr">
        <is>
          <t>Baseline On-Demand Cost</t>
        </is>
      </c>
      <c r="C18" s="21" t="inlineStr">
        <is>
          <t>Spot Discount %</t>
        </is>
      </c>
      <c r="D18" s="21" t="inlineStr">
        <is>
          <t>Net Spot Cost</t>
        </is>
      </c>
      <c r="E18" s="21" t="inlineStr">
        <is>
          <t>Interruption Rate Assumed</t>
        </is>
      </c>
      <c r="F18" s="21" t="inlineStr">
        <is>
          <t>Reprocessing Overhead (USD)</t>
        </is>
      </c>
      <c r="G18" s="21" t="inlineStr">
        <is>
          <t>Net Monthly Savings (USD)</t>
        </is>
      </c>
      <c r="H18" s="21" t="inlineStr">
        <is>
          <t>Eligible Instance Alternatives (Min 4 Pools)</t>
        </is>
      </c>
    </row>
    <row r="19">
      <c r="A19" s="10" t="inlineStr">
        <is>
          <t>KYC OCR Document Extraction</t>
        </is>
      </c>
      <c r="B19" s="11" t="n">
        <v>4896</v>
      </c>
      <c r="C19" s="12" t="n">
        <v>0.7</v>
      </c>
      <c r="D19" s="11" t="n">
        <v>1468.8</v>
      </c>
      <c r="E19" s="9" t="inlineStr">
        <is>
          <t>10.0%</t>
        </is>
      </c>
      <c r="F19" s="11" t="n">
        <v>54.72</v>
      </c>
      <c r="G19" s="11" t="n">
        <v>3372.48</v>
      </c>
      <c r="H19" s="10" t="inlineStr">
        <is>
          <t>c5.2xlarge, c5a.2xlarge, c6i.2xlarge, m5.2xlarge</t>
        </is>
      </c>
    </row>
    <row r="20">
      <c r="A20" s="14" t="inlineStr">
        <is>
          <t>Daily Batch Analytics &amp; ETL</t>
        </is>
      </c>
      <c r="B20" s="15" t="n">
        <v>2903.04</v>
      </c>
      <c r="C20" s="16" t="n">
        <v>0.68</v>
      </c>
      <c r="D20" s="15" t="n">
        <v>928.97</v>
      </c>
      <c r="E20" s="13" t="inlineStr">
        <is>
          <t>10.0%</t>
        </is>
      </c>
      <c r="F20" s="15" t="n">
        <v>42.1</v>
      </c>
      <c r="G20" s="15" t="n">
        <v>1931.97</v>
      </c>
      <c r="H20" s="14" t="inlineStr">
        <is>
          <t>r5.2xlarge, r5a.2xlarge, r6i.2xlarge, m5.4xlarge</t>
        </is>
      </c>
    </row>
    <row r="21">
      <c r="A21" s="10" t="inlineStr">
        <is>
          <t>Credit Risk Simulation Workers</t>
        </is>
      </c>
      <c r="B21" s="11" t="n">
        <v>1700</v>
      </c>
      <c r="C21" s="12" t="n">
        <v>0.65</v>
      </c>
      <c r="D21" s="11" t="n">
        <v>595</v>
      </c>
      <c r="E21" s="9" t="inlineStr">
        <is>
          <t>10.0%</t>
        </is>
      </c>
      <c r="F21" s="11" t="n">
        <v>25</v>
      </c>
      <c r="G21" s="11" t="n">
        <v>1080</v>
      </c>
      <c r="H21" s="10" t="inlineStr">
        <is>
          <t>c5.xlarge, c5a.xlarge, c6g.xlarge, m5.xlarge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2026-09-13T16:02:27Z</dcterms:created>
  <dcterms:modified xsi:type="dcterms:W3CDTF">2026-09-13T16:04:11Z</dcterms:modified>
</cp:coreProperties>
</file>